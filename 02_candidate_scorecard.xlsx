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final ranking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Rationale" sheetId="3" state="visible" r:id="rId3"/>
    <sheet xmlns:r="http://schemas.openxmlformats.org/officeDocument/2006/relationships" name="Screen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color rgb="000000FF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48" customWidth="1" min="4" max="4"/>
    <col width="18" customWidth="1" min="5" max="5"/>
    <col width="24" customWidth="1" min="6" max="6"/>
    <col width="14" customWidth="1" min="7" max="7"/>
    <col width="12" customWidth="1" min="8" max="8"/>
    <col width="12" customWidth="1" min="9" max="9"/>
    <col width="12" customWidth="1" min="10" max="10"/>
    <col width="13" customWidth="1" min="11" max="11"/>
    <col width="48" customWidth="1" min="12" max="12"/>
  </cols>
  <sheetData>
    <row r="1">
      <c r="A1" s="6" t="inlineStr">
        <is>
          <t>Rank</t>
        </is>
      </c>
      <c r="B1" s="6" t="inlineStr">
        <is>
          <t>Ticker</t>
        </is>
      </c>
      <c r="C1" s="6" t="inlineStr">
        <is>
          <t>Direction tested</t>
        </is>
      </c>
      <c r="D1" s="6" t="inlineStr">
        <is>
          <t>Variant perception</t>
        </is>
      </c>
      <c r="E1" s="6" t="inlineStr">
        <is>
          <t>Key KPI</t>
        </is>
      </c>
      <c r="F1" s="6" t="inlineStr">
        <is>
          <t>3-12m catalyst</t>
        </is>
      </c>
      <c r="G1" s="6" t="inlineStr">
        <is>
          <t>Base return</t>
        </is>
      </c>
      <c r="H1" s="6" t="inlineStr">
        <is>
          <t>Adverse loss</t>
        </is>
      </c>
      <c r="I1" s="6" t="inlineStr">
        <is>
          <t>EV (25/50/25)</t>
        </is>
      </c>
      <c r="J1" s="6" t="inlineStr">
        <is>
          <t>Reward/risk (need ≥2.0)</t>
        </is>
      </c>
      <c r="K1" s="6" t="inlineStr">
        <is>
          <t>Classification</t>
        </is>
      </c>
      <c r="L1" s="6" t="inlineStr">
        <is>
          <t>Exact reason</t>
        </is>
      </c>
    </row>
    <row r="2">
      <c r="A2" s="2" t="n">
        <v>1</v>
      </c>
      <c r="B2" s="2" t="inlineStr">
        <is>
          <t>CPRT</t>
        </is>
      </c>
      <c r="C2" s="2" t="inlineStr">
        <is>
          <t>Short (long also)</t>
        </is>
      </c>
      <c r="D2" s="2" t="inlineStr">
        <is>
          <t>Progressive loss (~-13pt US ins. units) runs at full rate through Q1-Q3 FY27; ex-ACV FY27 EPS 12-18% below published means</t>
        </is>
      </c>
      <c r="E2" s="2" t="inlineStr">
        <is>
          <t>US insurance units y/y</t>
        </is>
      </c>
      <c r="F2" s="2" t="inlineStr">
        <is>
          <t>Q1-FY27 est. 11/19; ACV close/consolidation</t>
        </is>
      </c>
      <c r="G2" s="2" t="inlineStr">
        <is>
          <t>-11.3% (short gain +11.3%)</t>
        </is>
      </c>
      <c r="H2" s="2" t="inlineStr">
        <is>
          <t>-38.8%</t>
        </is>
      </c>
      <c r="I2" s="2" t="inlineStr">
        <is>
          <t>+5.5%</t>
        </is>
      </c>
      <c r="J2" s="2" t="n">
        <v>0.29</v>
      </c>
      <c r="K2" s="2" t="inlineStr">
        <is>
          <t>KILL</t>
        </is>
      </c>
      <c r="L2" s="2" t="inlineStr">
        <is>
          <t>R5 fail; R4 contradiction (post-miss 3M +4.6% to +6.9%, n&gt;=8, robust)</t>
        </is>
      </c>
    </row>
    <row r="3">
      <c r="A3" s="2" t="n">
        <v>2</v>
      </c>
      <c r="B3" s="2" t="inlineStr">
        <is>
          <t>NKE</t>
        </is>
      </c>
      <c r="C3" s="2" t="inlineStr">
        <is>
          <t>Long &amp; short</t>
        </is>
      </c>
      <c r="D3" s="2" t="inlineStr">
        <is>
          <t>Undefined: guide reset 10/1 ($1.15-1.35 vs $1.66 stale consensus)</t>
        </is>
      </c>
      <c r="E3" s="2" t="inlineStr">
        <is>
          <t>Revenue geo x channel; GM</t>
        </is>
      </c>
      <c r="F3" s="2" t="inlineStr">
        <is>
          <t>Q2-FY27 est. mid-Dec</t>
        </is>
      </c>
      <c r="G3" s="2" t="inlineStr">
        <is>
          <t>+21.7% (triage)</t>
        </is>
      </c>
      <c r="H3" s="2" t="inlineStr">
        <is>
          <t>-19.9%</t>
        </is>
      </c>
      <c r="I3" s="2" t="inlineStr">
        <is>
          <t>+21.7%</t>
        </is>
      </c>
      <c r="J3" s="2" t="n">
        <v>1.09</v>
      </c>
      <c r="K3" s="2" t="inlineStr">
        <is>
          <t>REWORK</t>
        </is>
      </c>
      <c r="L3" s="2" t="inlineStr">
        <is>
          <t>Post-reset consensus and transcript not yet available (R1/R2 not evaluable); triage R5 fails; post-miss drift negative</t>
        </is>
      </c>
    </row>
    <row r="4">
      <c r="A4" s="2" t="n">
        <v>3</v>
      </c>
      <c r="B4" s="2" t="inlineStr">
        <is>
          <t>NCLH</t>
        </is>
      </c>
      <c r="C4" s="2" t="inlineStr">
        <is>
          <t>Long &amp; short</t>
        </is>
      </c>
      <c r="D4" s="2" t="inlineStr">
        <is>
          <t>Structural vs cyclical yield problem</t>
        </is>
      </c>
      <c r="E4" s="2" t="inlineStr">
        <is>
          <t>FY27 Net Yield</t>
        </is>
      </c>
      <c r="F4" s="2" t="inlineStr">
        <is>
          <t>FY27 guide est. late Feb-27</t>
        </is>
      </c>
      <c r="G4" s="2" t="inlineStr">
        <is>
          <t>+17.3% long</t>
        </is>
      </c>
      <c r="H4" s="2" t="inlineStr">
        <is>
          <t>-82.3% long</t>
        </is>
      </c>
      <c r="I4" s="2" t="inlineStr">
        <is>
          <t>+24.8% long</t>
        </is>
      </c>
      <c r="J4" s="2" t="n">
        <v>0.21</v>
      </c>
      <c r="K4" s="2" t="inlineStr">
        <is>
          <t>KILL</t>
        </is>
      </c>
      <c r="L4" s="2" t="inlineStr">
        <is>
          <t>R5 fails both ways; R²=0.65 sector bet; &gt;6x leverage</t>
        </is>
      </c>
    </row>
    <row r="5">
      <c r="A5" s="2" t="n">
        <v>4</v>
      </c>
      <c r="B5" s="2" t="inlineStr">
        <is>
          <t>SBUX</t>
        </is>
      </c>
      <c r="C5" s="2" t="inlineStr">
        <is>
          <t>Long &amp; short</t>
        </is>
      </c>
      <c r="D5" s="2" t="inlineStr">
        <is>
          <t>None &gt;=5%</t>
        </is>
      </c>
      <c r="E5" s="2" t="inlineStr">
        <is>
          <t>NA op margin</t>
        </is>
      </c>
      <c r="F5" s="2" t="inlineStr">
        <is>
          <t>FY27 guide 10/29</t>
        </is>
      </c>
      <c r="G5" s="2" t="inlineStr">
        <is>
          <t>+2.1%</t>
        </is>
      </c>
      <c r="H5" s="2" t="inlineStr">
        <is>
          <t>-23.5%</t>
        </is>
      </c>
      <c r="I5" s="2" t="inlineStr">
        <is>
          <t>+1.1%</t>
        </is>
      </c>
      <c r="J5" s="2" t="n">
        <v>0.09</v>
      </c>
      <c r="K5" s="2" t="inlineStr">
        <is>
          <t>KILL</t>
        </is>
      </c>
      <c r="L5" s="2" t="inlineStr">
        <is>
          <t>R1 (-4.4% gap); R5</t>
        </is>
      </c>
    </row>
    <row r="6">
      <c r="A6" s="2" t="n">
        <v>5</v>
      </c>
      <c r="B6" s="2" t="inlineStr">
        <is>
          <t>ADBE</t>
        </is>
      </c>
      <c r="C6" s="2" t="inlineStr">
        <is>
          <t>Long &amp; short (triage)</t>
        </is>
      </c>
      <c r="D6" s="2" t="inlineStr">
        <is>
          <t>Net new ARR -36% but EPS gap ~3%</t>
        </is>
      </c>
      <c r="E6" s="2" t="inlineStr">
        <is>
          <t>Net new ARR</t>
        </is>
      </c>
      <c r="F6" s="2" t="inlineStr">
        <is>
          <t>Q4/FY27 guide est. 12/9</t>
        </is>
      </c>
      <c r="G6" s="2" t="inlineStr">
        <is>
          <t>+7.3%</t>
        </is>
      </c>
      <c r="H6" s="2" t="inlineStr">
        <is>
          <t>-17.1%</t>
        </is>
      </c>
      <c r="I6" s="2" t="inlineStr">
        <is>
          <t>+11.5%</t>
        </is>
      </c>
      <c r="J6" s="2" t="n">
        <v>0.43</v>
      </c>
      <c r="K6" s="2" t="inlineStr">
        <is>
          <t>KILL</t>
        </is>
      </c>
      <c r="L6" s="2" t="inlineStr">
        <is>
          <t>R1; R5 ratio</t>
        </is>
      </c>
    </row>
    <row r="7">
      <c r="A7" s="2" t="n">
        <v>6</v>
      </c>
      <c r="B7" s="2" t="inlineStr">
        <is>
          <t>ABNB</t>
        </is>
      </c>
      <c r="C7" s="2" t="inlineStr">
        <is>
          <t>Long &amp; short (triage)</t>
        </is>
      </c>
      <c r="D7" s="2" t="inlineStr">
        <is>
          <t>FX tailwind fade = macro bet</t>
        </is>
      </c>
      <c r="E7" s="2" t="inlineStr">
        <is>
          <t>Nights booked</t>
        </is>
      </c>
      <c r="F7" s="2" t="inlineStr">
        <is>
          <t>Q3 est. 11/5</t>
        </is>
      </c>
      <c r="G7" s="2" t="inlineStr">
        <is>
          <t>+4.7%</t>
        </is>
      </c>
      <c r="H7" s="2" t="inlineStr">
        <is>
          <t>-19.0%</t>
        </is>
      </c>
      <c r="I7" s="2" t="inlineStr">
        <is>
          <t>+4.5%</t>
        </is>
      </c>
      <c r="J7" s="2" t="n">
        <v>0.25</v>
      </c>
      <c r="K7" s="2" t="inlineStr">
        <is>
          <t>KILL</t>
        </is>
      </c>
      <c r="L7" s="2" t="inlineStr">
        <is>
          <t>R1; R5; macro-bet test</t>
        </is>
      </c>
    </row>
    <row r="8">
      <c r="A8" s="2" t="n">
        <v>7</v>
      </c>
      <c r="B8" s="2" t="inlineStr">
        <is>
          <t>SPOT</t>
        </is>
      </c>
      <c r="C8" s="2" t="inlineStr">
        <is>
          <t>Long &amp; short (triage)</t>
        </is>
      </c>
      <c r="D8" s="2" t="inlineStr">
        <is>
          <t>No measurable gap</t>
        </is>
      </c>
      <c r="E8" s="2" t="inlineStr">
        <is>
          <t>Subs x ARPU</t>
        </is>
      </c>
      <c r="F8" s="2" t="inlineStr">
        <is>
          <t>Q3 est. 10/22</t>
        </is>
      </c>
      <c r="G8" s="2" t="inlineStr">
        <is>
          <t>-1.1%</t>
        </is>
      </c>
      <c r="H8" s="2" t="inlineStr">
        <is>
          <t>-30.2% (short)</t>
        </is>
      </c>
      <c r="I8" s="2" t="inlineStr">
        <is>
          <t>~0%</t>
        </is>
      </c>
      <c r="J8" s="2" t="n">
        <v>0.04</v>
      </c>
      <c r="K8" s="2" t="inlineStr">
        <is>
          <t>KILL</t>
        </is>
      </c>
      <c r="L8" s="2" t="inlineStr">
        <is>
          <t>R1; R5</t>
        </is>
      </c>
    </row>
    <row r="9">
      <c r="A9" s="2" t="n">
        <v>8</v>
      </c>
      <c r="B9" s="2" t="inlineStr">
        <is>
          <t>GEV</t>
        </is>
      </c>
      <c r="C9" s="2" t="inlineStr">
        <is>
          <t>—</t>
        </is>
      </c>
      <c r="D9" s="2" t="inlineStr">
        <is>
          <t>Multiple, not EPS</t>
        </is>
      </c>
      <c r="E9" s="2" t="inlineStr">
        <is>
          <t>Orders/backlog</t>
        </is>
      </c>
      <c r="F9" s="2" t="inlineStr">
        <is>
          <t>Q3 est. 10/28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—</t>
        </is>
      </c>
      <c r="J9" s="2" t="n"/>
      <c r="K9" s="2" t="inlineStr">
        <is>
          <t>KILL</t>
        </is>
      </c>
      <c r="L9" s="2" t="inlineStr">
        <is>
          <t>Not advanced in Phase 3 (R8 risk; 3.5y history)</t>
        </is>
      </c>
    </row>
    <row r="11">
      <c r="A11" t="inlineStr">
        <is>
          <t>Audit 2026-10-01. Locked R5 hurdle unchanged. Source: audit/AUDIT_REPORT.md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5" customHeight="1">
      <c r="A1" s="1" t="inlineStr">
        <is>
          <t>Ticker</t>
        </is>
      </c>
      <c r="B1" s="1" t="inlineStr">
        <is>
          <t>Data observability</t>
        </is>
      </c>
      <c r="C1" s="1" t="inlineStr">
        <is>
          <t>KPI transparency</t>
        </is>
      </c>
      <c r="D1" s="1" t="inlineStr">
        <is>
          <t>Potential consensus disagreement</t>
        </is>
      </c>
      <c r="E1" s="1" t="inlineStr">
        <is>
          <t>Catalyst visibility</t>
        </is>
      </c>
      <c r="F1" s="1" t="inlineStr">
        <is>
          <t>Ability to model</t>
        </is>
      </c>
      <c r="G1" s="1" t="inlineStr">
        <is>
          <t>Risk/reward asymmetry</t>
        </is>
      </c>
      <c r="H1" s="1" t="inlineStr">
        <is>
          <t>Availability of historical data</t>
        </is>
      </c>
      <c r="I1" s="1" t="inlineStr">
        <is>
          <t>Industry complexity (5 = simple)</t>
        </is>
      </c>
      <c r="J1" s="1" t="inlineStr">
        <is>
          <t>Total</t>
        </is>
      </c>
      <c r="K1" s="1" t="inlineStr">
        <is>
          <t>Rank</t>
        </is>
      </c>
      <c r="L1" s="1" t="inlineStr">
        <is>
          <t>Advance?</t>
        </is>
      </c>
    </row>
    <row r="2">
      <c r="A2" s="2" t="inlineStr">
        <is>
          <t>ABNB</t>
        </is>
      </c>
      <c r="B2" s="3" t="n">
        <v>4</v>
      </c>
      <c r="C2" s="3" t="n">
        <v>5</v>
      </c>
      <c r="D2" s="3" t="n">
        <v>3</v>
      </c>
      <c r="E2" s="3" t="n">
        <v>4</v>
      </c>
      <c r="F2" s="3" t="n">
        <v>5</v>
      </c>
      <c r="G2" s="3" t="n">
        <v>3</v>
      </c>
      <c r="H2" s="3" t="n">
        <v>3</v>
      </c>
      <c r="I2" s="3" t="n">
        <v>4</v>
      </c>
      <c r="J2" s="2">
        <f>SUM(B2:I2)</f>
        <v/>
      </c>
      <c r="K2" s="2">
        <f>RANK(J2,$J$2:$J$9)+COUNTIFS($J$2:$J$9,J2,$D$2:$D$9,"&gt;"&amp;D2)</f>
        <v/>
      </c>
      <c r="L2" s="2">
        <f>IF(K2&lt;=3,"ADVANCE","drop")</f>
        <v/>
      </c>
    </row>
    <row r="3">
      <c r="A3" s="2" t="inlineStr">
        <is>
          <t>ADBE</t>
        </is>
      </c>
      <c r="B3" s="3" t="n">
        <v>3</v>
      </c>
      <c r="C3" s="3" t="n">
        <v>3</v>
      </c>
      <c r="D3" s="3" t="n">
        <v>3</v>
      </c>
      <c r="E3" s="3" t="n">
        <v>4</v>
      </c>
      <c r="F3" s="3" t="n">
        <v>4</v>
      </c>
      <c r="G3" s="3" t="n">
        <v>4</v>
      </c>
      <c r="H3" s="3" t="n">
        <v>5</v>
      </c>
      <c r="I3" s="3" t="n">
        <v>2</v>
      </c>
      <c r="J3" s="2">
        <f>SUM(B3:I3)</f>
        <v/>
      </c>
      <c r="K3" s="2">
        <f>RANK(J3,$J$2:$J$9)+COUNTIFS($J$2:$J$9,J3,$D$2:$D$9,"&gt;"&amp;D3)</f>
        <v/>
      </c>
      <c r="L3" s="2">
        <f>IF(K3&lt;=3,"ADVANCE","drop")</f>
        <v/>
      </c>
    </row>
    <row r="4">
      <c r="A4" s="2" t="inlineStr">
        <is>
          <t>CPRT</t>
        </is>
      </c>
      <c r="B4" s="3" t="n">
        <v>4</v>
      </c>
      <c r="C4" s="3" t="n">
        <v>3</v>
      </c>
      <c r="D4" s="3" t="n">
        <v>4</v>
      </c>
      <c r="E4" s="3" t="n">
        <v>4</v>
      </c>
      <c r="F4" s="3" t="n">
        <v>4</v>
      </c>
      <c r="G4" s="3" t="n">
        <v>3</v>
      </c>
      <c r="H4" s="3" t="n">
        <v>5</v>
      </c>
      <c r="I4" s="3" t="n">
        <v>5</v>
      </c>
      <c r="J4" s="2">
        <f>SUM(B4:I4)</f>
        <v/>
      </c>
      <c r="K4" s="2">
        <f>RANK(J4,$J$2:$J$9)+COUNTIFS($J$2:$J$9,J4,$D$2:$D$9,"&gt;"&amp;D4)</f>
        <v/>
      </c>
      <c r="L4" s="2">
        <f>IF(K4&lt;=3,"ADVANCE","drop")</f>
        <v/>
      </c>
    </row>
    <row r="5">
      <c r="A5" s="2" t="inlineStr">
        <is>
          <t>GEV</t>
        </is>
      </c>
      <c r="B5" s="3" t="n">
        <v>4</v>
      </c>
      <c r="C5" s="3" t="n">
        <v>4</v>
      </c>
      <c r="D5" s="3" t="n">
        <v>2</v>
      </c>
      <c r="E5" s="3" t="n">
        <v>4</v>
      </c>
      <c r="F5" s="3" t="n">
        <v>2</v>
      </c>
      <c r="G5" s="3" t="n">
        <v>2</v>
      </c>
      <c r="H5" s="3" t="n">
        <v>1</v>
      </c>
      <c r="I5" s="3" t="n">
        <v>2</v>
      </c>
      <c r="J5" s="2">
        <f>SUM(B5:I5)</f>
        <v/>
      </c>
      <c r="K5" s="2">
        <f>RANK(J5,$J$2:$J$9)+COUNTIFS($J$2:$J$9,J5,$D$2:$D$9,"&gt;"&amp;D5)</f>
        <v/>
      </c>
      <c r="L5" s="2">
        <f>IF(K5&lt;=3,"ADVANCE","drop")</f>
        <v/>
      </c>
    </row>
    <row r="6">
      <c r="A6" s="2" t="inlineStr">
        <is>
          <t>NCLH</t>
        </is>
      </c>
      <c r="B6" s="3" t="n">
        <v>4</v>
      </c>
      <c r="C6" s="3" t="n">
        <v>5</v>
      </c>
      <c r="D6" s="3" t="n">
        <v>5</v>
      </c>
      <c r="E6" s="3" t="n">
        <v>5</v>
      </c>
      <c r="F6" s="3" t="n">
        <v>5</v>
      </c>
      <c r="G6" s="3" t="n">
        <v>4</v>
      </c>
      <c r="H6" s="3" t="n">
        <v>4</v>
      </c>
      <c r="I6" s="3" t="n">
        <v>4</v>
      </c>
      <c r="J6" s="2">
        <f>SUM(B6:I6)</f>
        <v/>
      </c>
      <c r="K6" s="2">
        <f>RANK(J6,$J$2:$J$9)+COUNTIFS($J$2:$J$9,J6,$D$2:$D$9,"&gt;"&amp;D6)</f>
        <v/>
      </c>
      <c r="L6" s="2">
        <f>IF(K6&lt;=3,"ADVANCE","drop")</f>
        <v/>
      </c>
    </row>
    <row r="7">
      <c r="A7" s="2" t="inlineStr">
        <is>
          <t>NKE</t>
        </is>
      </c>
      <c r="B7" s="3" t="n">
        <v>3</v>
      </c>
      <c r="C7" s="3" t="n">
        <v>4</v>
      </c>
      <c r="D7" s="3" t="n">
        <v>4</v>
      </c>
      <c r="E7" s="3" t="n">
        <v>3</v>
      </c>
      <c r="F7" s="3" t="n">
        <v>4</v>
      </c>
      <c r="G7" s="3" t="n">
        <v>4</v>
      </c>
      <c r="H7" s="3" t="n">
        <v>5</v>
      </c>
      <c r="I7" s="3" t="n">
        <v>3</v>
      </c>
      <c r="J7" s="2">
        <f>SUM(B7:I7)</f>
        <v/>
      </c>
      <c r="K7" s="2">
        <f>RANK(J7,$J$2:$J$9)+COUNTIFS($J$2:$J$9,J7,$D$2:$D$9,"&gt;"&amp;D7)</f>
        <v/>
      </c>
      <c r="L7" s="2">
        <f>IF(K7&lt;=3,"ADVANCE","drop")</f>
        <v/>
      </c>
    </row>
    <row r="8">
      <c r="A8" s="2" t="inlineStr">
        <is>
          <t>SBUX</t>
        </is>
      </c>
      <c r="B8" s="3" t="n">
        <v>5</v>
      </c>
      <c r="C8" s="3" t="n">
        <v>5</v>
      </c>
      <c r="D8" s="3" t="n">
        <v>3</v>
      </c>
      <c r="E8" s="3" t="n">
        <v>4</v>
      </c>
      <c r="F8" s="3" t="n">
        <v>4</v>
      </c>
      <c r="G8" s="3" t="n">
        <v>2</v>
      </c>
      <c r="H8" s="3" t="n">
        <v>5</v>
      </c>
      <c r="I8" s="3" t="n">
        <v>4</v>
      </c>
      <c r="J8" s="2">
        <f>SUM(B8:I8)</f>
        <v/>
      </c>
      <c r="K8" s="2">
        <f>RANK(J8,$J$2:$J$9)+COUNTIFS($J$2:$J$9,J8,$D$2:$D$9,"&gt;"&amp;D8)</f>
        <v/>
      </c>
      <c r="L8" s="2">
        <f>IF(K8&lt;=3,"ADVANCE","drop")</f>
        <v/>
      </c>
    </row>
    <row r="9">
      <c r="A9" s="2" t="inlineStr">
        <is>
          <t>SPOT</t>
        </is>
      </c>
      <c r="B9" s="3" t="n">
        <v>3</v>
      </c>
      <c r="C9" s="3" t="n">
        <v>5</v>
      </c>
      <c r="D9" s="3" t="n">
        <v>3</v>
      </c>
      <c r="E9" s="3" t="n">
        <v>4</v>
      </c>
      <c r="F9" s="3" t="n">
        <v>5</v>
      </c>
      <c r="G9" s="3" t="n">
        <v>3</v>
      </c>
      <c r="H9" s="3" t="n">
        <v>2</v>
      </c>
      <c r="I9" s="3" t="n">
        <v>3</v>
      </c>
      <c r="J9" s="2">
        <f>SUM(B9:I9)</f>
        <v/>
      </c>
      <c r="K9" s="2">
        <f>RANK(J9,$J$2:$J$9)+COUNTIFS($J$2:$J$9,J9,$D$2:$D$9,"&gt;"&amp;D9)</f>
        <v/>
      </c>
      <c r="L9" s="2">
        <f>IF(K9&lt;=3,"ADVANCE","drop")</f>
        <v/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inlineStr">
        <is>
          <t>Scale 1-5, 5 = most favourable to a falsifiable edge. Equal weights. Ties broken by 'Potential consensus disagreement'. Not a 'which stock do I like' score. Rationale for every score on the 'Rationale' tab.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 ht="45" customHeight="1">
      <c r="A1" s="1" t="inlineStr">
        <is>
          <t>Ticker</t>
        </is>
      </c>
      <c r="B1" s="1" t="inlineStr">
        <is>
          <t>Data observability</t>
        </is>
      </c>
      <c r="C1" s="1" t="inlineStr">
        <is>
          <t>KPI transparency</t>
        </is>
      </c>
      <c r="D1" s="1" t="inlineStr">
        <is>
          <t>Potential consensus disagreement</t>
        </is>
      </c>
      <c r="E1" s="1" t="inlineStr">
        <is>
          <t>Catalyst visibility</t>
        </is>
      </c>
      <c r="F1" s="1" t="inlineStr">
        <is>
          <t>Ability to model</t>
        </is>
      </c>
      <c r="G1" s="1" t="inlineStr">
        <is>
          <t>Risk/reward asymmetry</t>
        </is>
      </c>
      <c r="H1" s="1" t="inlineStr">
        <is>
          <t>Availability of historical data</t>
        </is>
      </c>
      <c r="I1" s="1" t="inlineStr">
        <is>
          <t>Industry complexity (5 = simple)</t>
        </is>
      </c>
    </row>
    <row r="2">
      <c r="A2" s="2" t="inlineStr">
        <is>
          <t>ABNB</t>
        </is>
      </c>
      <c r="B2" s="2" t="inlineStr">
        <is>
          <t>4 - AirDNA/web/app traffic, hotel peers</t>
        </is>
      </c>
      <c r="C2" s="2" t="inlineStr">
        <is>
          <t>5 - Nights, ADR, GBV reported &amp; guided</t>
        </is>
      </c>
      <c r="D2" s="2" t="inlineStr">
        <is>
          <t>3 - EPS disp 0.41; tgt disp 0.46 (low); debate is nights growth, MS says priced</t>
        </is>
      </c>
      <c r="E2" s="2" t="inlineStr">
        <is>
          <t>4 - Q3 11/05; Q4 Feb w/ 2027 outlook</t>
        </is>
      </c>
      <c r="F2" s="2" t="inlineStr">
        <is>
          <t>5 - Nights x ADR x take rate</t>
        </is>
      </c>
      <c r="G2" s="2" t="inlineStr">
        <is>
          <t>3 - P/S 30th pctile; 26x fwd P/E; +32% 52w</t>
        </is>
      </c>
      <c r="H2" s="2" t="inlineStr">
        <is>
          <t>3 - 6.5 yrs, COVID-distorted</t>
        </is>
      </c>
      <c r="I2" s="2" t="inlineStr">
        <is>
          <t>4 - Simple marketplace</t>
        </is>
      </c>
    </row>
    <row r="3">
      <c r="A3" s="2" t="inlineStr">
        <is>
          <t>ADBE</t>
        </is>
      </c>
      <c r="B3" s="2" t="inlineStr">
        <is>
          <t>3 - Seats not disclosed; alt data noisy</t>
        </is>
      </c>
      <c r="C3" s="2" t="inlineStr">
        <is>
          <t>3 - ARR metric redefined; no unit KPI</t>
        </is>
      </c>
      <c r="D3" s="2" t="inlineStr">
        <is>
          <t>3 - EPS disp only 0.12 -&gt; Street agrees on EPS; fight is terminal value (multiple) -&gt; R8 risk</t>
        </is>
      </c>
      <c r="E3" s="2" t="inlineStr">
        <is>
          <t>4 - Q4 + FY27 guide 12/09; CEO starts 12/01</t>
        </is>
      </c>
      <c r="F3" s="2" t="inlineStr">
        <is>
          <t>4 - ARR -&gt; revenue -&gt; margin straightforward</t>
        </is>
      </c>
      <c r="G3" s="2" t="inlineStr">
        <is>
          <t>4 - P/S 19th pctile; 8.7x fwd P/E</t>
        </is>
      </c>
      <c r="H3" s="2" t="inlineStr">
        <is>
          <t>5 - 18 yrs</t>
        </is>
      </c>
      <c r="I3" s="2" t="inlineStr">
        <is>
          <t>2 - AI disruption hard to falsify in 12m</t>
        </is>
      </c>
    </row>
    <row r="4">
      <c r="A4" s="2" t="inlineStr">
        <is>
          <t>CPRT</t>
        </is>
      </c>
      <c r="B4" s="2" t="inlineStr">
        <is>
          <t>4 - Manheim monthly, CCC total-loss data, RB Global/IAA peer</t>
        </is>
      </c>
      <c r="C4" s="2" t="inlineStr">
        <is>
          <t>3 - Units/ASP mostly in call, not tabled</t>
        </is>
      </c>
      <c r="D4" s="2" t="inlineStr">
        <is>
          <t>4 - EPS disp 0.12 but tgt disp 0.77; cyclical vs structural units is a clean fight; FY1 EPS -5.4% 90d</t>
        </is>
      </c>
      <c r="E4" s="2" t="inlineStr">
        <is>
          <t>4 - Q1 FY27 ~11/19; RBA early Nov; Manheim monthly</t>
        </is>
      </c>
      <c r="F4" s="2" t="inlineStr">
        <is>
          <t>4 - Units x revenue/unit</t>
        </is>
      </c>
      <c r="G4" s="2" t="inlineStr">
        <is>
          <t>3 - 15.6x fwd P/E (decade low) but P/S 45th pctile on 17y; -39% 52w</t>
        </is>
      </c>
      <c r="H4" s="2" t="inlineStr">
        <is>
          <t>5 - 17 yrs incl. 2008, 2020</t>
        </is>
      </c>
      <c r="I4" s="2" t="inlineStr">
        <is>
          <t>5 - Simple two-sided auction</t>
        </is>
      </c>
    </row>
    <row r="5">
      <c r="A5" s="2" t="inlineStr">
        <is>
          <t>GEV</t>
        </is>
      </c>
      <c r="B5" s="2" t="inlineStr">
        <is>
          <t>4 - Orders/backlog/GW slots disclosed</t>
        </is>
      </c>
      <c r="C5" s="2" t="inlineStr">
        <is>
          <t>4 - Segment KPIs clear</t>
        </is>
      </c>
      <c r="D5" s="2" t="inlineStr">
        <is>
          <t>2 - Disagreement is the multiple, not near-term EPS</t>
        </is>
      </c>
      <c r="E5" s="2" t="inlineStr">
        <is>
          <t>4 - Q3 10/28; investor update</t>
        </is>
      </c>
      <c r="F5" s="2" t="inlineStr">
        <is>
          <t>2 - 3 segments, wind losses, Prolec, long-cycle accounting</t>
        </is>
      </c>
      <c r="G5" s="2" t="inlineStr">
        <is>
          <t>2 - P/S 80th pctile; 62x EBITDA</t>
        </is>
      </c>
      <c r="H5" s="2" t="inlineStr">
        <is>
          <t>1 - 3.5 yrs since spin</t>
        </is>
      </c>
      <c r="I5" s="2" t="inlineStr">
        <is>
          <t>2 - Long-cycle industrial</t>
        </is>
      </c>
    </row>
    <row r="6">
      <c r="A6" s="2" t="inlineStr">
        <is>
          <t>NCLH</t>
        </is>
      </c>
      <c r="B6" s="2" t="inlineStr">
        <is>
          <t>4 - Cruise pricing trackers, RCL/CCL read-across, fuel</t>
        </is>
      </c>
      <c r="C6" s="2" t="inlineStr">
        <is>
          <t>5 - Net yield, NCC ex-fuel, capacity, occupancy guided quarterly</t>
        </is>
      </c>
      <c r="D6" s="2" t="inlineStr">
        <is>
          <t>5 - EPS disp 0.44, tgt disp 0.94, 23% short, FY1 EPS -18% in 90d</t>
        </is>
      </c>
      <c r="E6" s="2" t="inlineStr">
        <is>
          <t>5 - Q3 11/04 w/ 2027 color; RCL/CCL prints; Q4 Feb 2027 guide; GSC opened 9/04</t>
        </is>
      </c>
      <c r="F6" s="2" t="inlineStr">
        <is>
          <t>5 - Capacity x yield - NCC - fuel; leverage explicit</t>
        </is>
      </c>
      <c r="G6" s="2" t="inlineStr">
        <is>
          <t>4 - P/S 0th pctile (all-time low); 5.3x lev = fat tails both ways</t>
        </is>
      </c>
      <c r="H6" s="2" t="inlineStr">
        <is>
          <t>4 - 14.5 yrs (COVID gap)</t>
        </is>
      </c>
      <c r="I6" s="2" t="inlineStr">
        <is>
          <t>4 - Well-understood unit economics</t>
        </is>
      </c>
    </row>
    <row r="7">
      <c r="A7" s="2" t="inlineStr">
        <is>
          <t>NKE</t>
        </is>
      </c>
      <c r="B7" s="2" t="inlineStr">
        <is>
          <t>3 - Sell-through mostly proprietary</t>
        </is>
      </c>
      <c r="C7" s="2" t="inlineStr">
        <is>
          <t>4 - Geo x channel, GM, inventory; tariff-refund noise</t>
        </is>
      </c>
      <c r="D7" s="2" t="inlineStr">
        <is>
          <t>4 - EPS disp 0.82, tgt disp 1.56 (highest); but fight is timing</t>
        </is>
      </c>
      <c r="E7" s="2" t="inlineStr">
        <is>
          <t>3 - Q1 reports 10/01 (resolves before pitch); next ~Dec</t>
        </is>
      </c>
      <c r="F7" s="2" t="inlineStr">
        <is>
          <t>4 - Geo x channel build</t>
        </is>
      </c>
      <c r="G7" s="2" t="inlineStr">
        <is>
          <t>4 - P/S 6th pctile; 12-yr low</t>
        </is>
      </c>
      <c r="H7" s="2" t="inlineStr">
        <is>
          <t>5 - 18 yrs</t>
        </is>
      </c>
      <c r="I7" s="2" t="inlineStr">
        <is>
          <t>3 - Tariffs/IEEPA refunds, FX, China, channel mix</t>
        </is>
      </c>
    </row>
    <row r="8">
      <c r="A8" s="2" t="inlineStr">
        <is>
          <t>SBUX</t>
        </is>
      </c>
      <c r="B8" s="2" t="inlineStr">
        <is>
          <t>5 - Foot-traffic &amp; card data</t>
        </is>
      </c>
      <c r="C8" s="2" t="inlineStr">
        <is>
          <t>5 - Comps split into transactions/ticket by region</t>
        </is>
      </c>
      <c r="D8" s="2" t="inlineStr">
        <is>
          <t>3 - EPS disp 0.14 -&gt; Street converged after raise</t>
        </is>
      </c>
      <c r="E8" s="2" t="inlineStr">
        <is>
          <t>4 - Q4 + FY27 guide 10/28</t>
        </is>
      </c>
      <c r="F8" s="2" t="inlineStr">
        <is>
          <t>4 - China JV deconsolidation complicates comps</t>
        </is>
      </c>
      <c r="G8" s="2" t="inlineStr">
        <is>
          <t>2 - P/S 65th pctile; 30x P/E after re-rating</t>
        </is>
      </c>
      <c r="H8" s="2" t="inlineStr">
        <is>
          <t>5 - 17.75 yrs</t>
        </is>
      </c>
      <c r="I8" s="2" t="inlineStr">
        <is>
          <t>4 - Simple unit economics</t>
        </is>
      </c>
    </row>
    <row r="9">
      <c r="A9" s="2" t="inlineStr">
        <is>
          <t>SPOT</t>
        </is>
      </c>
      <c r="B9" s="2" t="inlineStr">
        <is>
          <t>3 - App data for MAU</t>
        </is>
      </c>
      <c r="C9" s="2" t="inlineStr">
        <is>
          <t>5 - MAU, subs, ARPU, GM guided</t>
        </is>
      </c>
      <c r="D9" s="2" t="inlineStr">
        <is>
          <t>3 - Moderate: reinvestment vs margin</t>
        </is>
      </c>
      <c r="E9" s="2" t="inlineStr">
        <is>
          <t>4 - Q3 10/22 (3 wks); Q4 Feb</t>
        </is>
      </c>
      <c r="F9" s="2" t="inlineStr">
        <is>
          <t>5 - Subs x ARPU</t>
        </is>
      </c>
      <c r="G9" s="2" t="inlineStr">
        <is>
          <t>3 - 28x fwd P/E; -31% 52w</t>
        </is>
      </c>
      <c r="H9" s="2" t="inlineStr">
        <is>
          <t>2 - No quarterly XBRL (6-K filer); manual history</t>
        </is>
      </c>
      <c r="I9" s="2" t="inlineStr">
        <is>
          <t>3 - Label economics, FX, social charges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 ht="45" customHeight="1">
      <c r="A1" s="1" t="inlineStr">
        <is>
          <t>Metric</t>
        </is>
      </c>
      <c r="B1" s="1" t="inlineStr">
        <is>
          <t>ABNB</t>
        </is>
      </c>
      <c r="C1" s="1" t="inlineStr">
        <is>
          <t>ADBE</t>
        </is>
      </c>
      <c r="D1" s="1" t="inlineStr">
        <is>
          <t>CPRT</t>
        </is>
      </c>
      <c r="E1" s="1" t="inlineStr">
        <is>
          <t>GEV</t>
        </is>
      </c>
      <c r="F1" s="1" t="inlineStr">
        <is>
          <t>NCLH</t>
        </is>
      </c>
      <c r="G1" s="1" t="inlineStr">
        <is>
          <t>NKE</t>
        </is>
      </c>
      <c r="H1" s="1" t="inlineStr">
        <is>
          <t>SBUX</t>
        </is>
      </c>
      <c r="I1" s="1" t="inlineStr">
        <is>
          <t>SPOT</t>
        </is>
      </c>
    </row>
    <row r="2">
      <c r="A2" s="2" t="inlineStr">
        <is>
          <t>Price</t>
        </is>
      </c>
      <c r="B2" s="4" t="n">
        <v>160.41</v>
      </c>
      <c r="C2" s="4" t="n">
        <v>241.29</v>
      </c>
      <c r="D2" s="4" t="n">
        <v>27.305</v>
      </c>
      <c r="E2" s="4" t="n">
        <v>978.61</v>
      </c>
      <c r="F2" s="4" t="n">
        <v>14.655</v>
      </c>
      <c r="G2" s="4" t="n">
        <v>35.215</v>
      </c>
      <c r="H2" s="4" t="n">
        <v>94.93000000000001</v>
      </c>
      <c r="I2" s="4" t="n">
        <v>492.0525</v>
      </c>
    </row>
    <row r="3">
      <c r="A3" s="2" t="inlineStr">
        <is>
          <t>Mkt cap ($bn)</t>
        </is>
      </c>
      <c r="B3" s="4" t="n">
        <v>96.051208192</v>
      </c>
      <c r="C3" s="4" t="n">
        <v>95.912771584</v>
      </c>
      <c r="D3" s="4" t="n">
        <v>25.293453312</v>
      </c>
      <c r="E3" s="4" t="n">
        <v>260.636704768</v>
      </c>
      <c r="F3" s="4" t="n">
        <v>6.72939776</v>
      </c>
      <c r="G3" s="4" t="n">
        <v>52.241408</v>
      </c>
      <c r="H3" s="4" t="n">
        <v>108.220203008</v>
      </c>
      <c r="I3" s="4" t="n">
        <v>101.158223872</v>
      </c>
    </row>
    <row r="4">
      <c r="A4" s="2" t="inlineStr">
        <is>
          <t>EV ($bn)</t>
        </is>
      </c>
      <c r="B4" s="4" t="n">
        <v>85.143937024</v>
      </c>
      <c r="C4" s="4" t="n">
        <v>94.529650688</v>
      </c>
      <c r="D4" s="4" t="n">
        <v>20.885444608</v>
      </c>
      <c r="E4" s="4" t="n">
        <v>245.305409536</v>
      </c>
      <c r="F4" s="4" t="n">
        <v>22.492411904</v>
      </c>
      <c r="G4" s="4" t="n">
        <v>54.531854336</v>
      </c>
      <c r="H4" s="4" t="n">
        <v>125.964402688</v>
      </c>
      <c r="I4" s="4" t="n">
        <v>93.67863296</v>
      </c>
    </row>
    <row r="5">
      <c r="A5" s="2" t="inlineStr">
        <is>
          <t>Fwd P/E (NTM)</t>
        </is>
      </c>
      <c r="B5" s="4" t="n">
        <v>25.927488</v>
      </c>
      <c r="C5" s="4" t="n">
        <v>8.719239999999999</v>
      </c>
      <c r="D5" s="4" t="n">
        <v>15.597331</v>
      </c>
      <c r="E5" s="4" t="n">
        <v>38.948456</v>
      </c>
      <c r="F5" s="4" t="n">
        <v>8.775501999999999</v>
      </c>
      <c r="G5" s="4" t="n">
        <v>16.325914</v>
      </c>
      <c r="H5" s="4" t="n">
        <v>30.399487</v>
      </c>
      <c r="I5" s="4" t="n">
        <v>28.163761</v>
      </c>
    </row>
    <row r="6">
      <c r="A6" s="2" t="inlineStr">
        <is>
          <t>EV/EBITDA (LTM)</t>
        </is>
      </c>
      <c r="B6" s="4" t="n">
        <v>30.838</v>
      </c>
      <c r="C6" s="4" t="n">
        <v>9.532</v>
      </c>
      <c r="D6" s="4" t="n">
        <v>11.191</v>
      </c>
      <c r="E6" s="4" t="n">
        <v>62.466</v>
      </c>
      <c r="F6" s="4" t="n">
        <v>8.67</v>
      </c>
      <c r="G6" s="4" t="n">
        <v>11.063</v>
      </c>
      <c r="H6" s="4" t="n">
        <v>22.325</v>
      </c>
      <c r="I6" s="4" t="n">
        <v>34.916</v>
      </c>
    </row>
    <row r="7">
      <c r="A7" s="2" t="inlineStr">
        <is>
          <t>EV/Sales (LTM)</t>
        </is>
      </c>
      <c r="B7" s="4" t="n">
        <v>6.47</v>
      </c>
      <c r="C7" s="4" t="n">
        <v>3.64</v>
      </c>
      <c r="D7" s="4" t="n">
        <v>4.476</v>
      </c>
      <c r="E7" s="4" t="n">
        <v>5.93</v>
      </c>
      <c r="F7" s="4" t="n">
        <v>2.215</v>
      </c>
      <c r="G7" s="4" t="n">
        <v>1.175</v>
      </c>
      <c r="H7" s="4" t="n">
        <v>3.286</v>
      </c>
      <c r="I7" s="4" t="n">
        <v>5.172</v>
      </c>
    </row>
    <row r="8">
      <c r="A8" s="2" t="inlineStr">
        <is>
          <t>EV/Sales (next FY cons.)</t>
        </is>
      </c>
      <c r="B8" s="4" t="n">
        <v>5.383288014348722</v>
      </c>
      <c r="C8" s="4" t="n">
        <v>3.253700515817936</v>
      </c>
      <c r="D8" s="4" t="n">
        <v>4.096450900099183</v>
      </c>
      <c r="E8" s="4" t="n">
        <v>4.644495669301909</v>
      </c>
      <c r="F8" s="4" t="n">
        <v>2.128373315323706</v>
      </c>
      <c r="G8" s="4" t="n">
        <v>1.164934495413298</v>
      </c>
      <c r="H8" s="4" t="n">
        <v>3.266094591749714</v>
      </c>
      <c r="I8" s="4" t="n">
        <v>4.192548991303284</v>
      </c>
    </row>
    <row r="9">
      <c r="A9" s="2" t="inlineStr">
        <is>
          <t>Rev growth last Q y/y</t>
        </is>
      </c>
      <c r="B9" s="5" t="n">
        <v>0.1653746770025839</v>
      </c>
      <c r="C9" s="5" t="n">
        <v>0.1289245156980627</v>
      </c>
      <c r="D9" s="5" t="n">
        <v>0.0209207438046539</v>
      </c>
      <c r="E9" s="5" t="n">
        <v>0.218746570080123</v>
      </c>
      <c r="F9" s="5" t="n">
        <v>0.0488767216008598</v>
      </c>
      <c r="G9" s="5" t="n">
        <v>-0.0112643056681985</v>
      </c>
      <c r="H9" s="5" t="n">
        <v>-0.0140968697123519</v>
      </c>
      <c r="I9" s="5" t="n">
        <v>0.139279751967565</v>
      </c>
    </row>
    <row r="10">
      <c r="A10" s="2" t="inlineStr">
        <is>
          <t>Cons. rev growth FY0</t>
        </is>
      </c>
      <c r="B10" s="5" t="n">
        <v>0.1576</v>
      </c>
      <c r="C10" s="5" t="n">
        <v>0.1195</v>
      </c>
      <c r="D10" s="5" t="n">
        <v>-0.0005</v>
      </c>
      <c r="E10" s="5" t="n">
        <v>0.21620001</v>
      </c>
      <c r="F10" s="5" t="n">
        <v>0.0208</v>
      </c>
      <c r="G10" s="5" t="n">
        <v>-0.0227</v>
      </c>
      <c r="H10" s="5" t="n">
        <v>0.0216</v>
      </c>
      <c r="I10" s="5" t="n">
        <v>0.1365</v>
      </c>
    </row>
    <row r="11">
      <c r="A11" s="2" t="inlineStr">
        <is>
          <t>Cons. rev growth FY1</t>
        </is>
      </c>
      <c r="B11" s="5" t="n">
        <v>0.1161</v>
      </c>
      <c r="C11" s="5" t="n">
        <v>0.091800004</v>
      </c>
      <c r="D11" s="5" t="n">
        <v>0.052600004</v>
      </c>
      <c r="E11" s="5" t="n">
        <v>0.1408</v>
      </c>
      <c r="F11" s="5" t="n">
        <v>0.053400002</v>
      </c>
      <c r="G11" s="5" t="n">
        <v>0.0324</v>
      </c>
      <c r="H11" s="5" t="n">
        <v>0.0152</v>
      </c>
      <c r="I11" s="5" t="n">
        <v>0.1439</v>
      </c>
    </row>
    <row r="12">
      <c r="A12" s="2" t="inlineStr">
        <is>
          <t>Op margin last Q</t>
        </is>
      </c>
      <c r="B12" s="5" t="n">
        <v>0.2100886917960088</v>
      </c>
      <c r="C12" s="5" t="n">
        <v>0.3482248520710059</v>
      </c>
      <c r="D12" s="5" t="n">
        <v>0.3753089972564115</v>
      </c>
      <c r="E12" s="5" t="n">
        <v>0.0589877521613832</v>
      </c>
      <c r="F12" s="5" t="n">
        <v>0.1375955106220536</v>
      </c>
      <c r="G12" s="5" t="n">
        <v>0.1194859642726941</v>
      </c>
      <c r="H12" s="5" t="n">
        <v>0.1291900415115792</v>
      </c>
      <c r="I12" s="5" t="n">
        <v>0.1371153443583839</v>
      </c>
    </row>
    <row r="13">
      <c r="A13" s="2" t="inlineStr">
        <is>
          <t>Op margin yr-ago Q</t>
        </is>
      </c>
      <c r="B13" s="5" t="n">
        <v>0.1976744186046511</v>
      </c>
      <c r="C13" s="5" t="n">
        <v>0.3628924515698062</v>
      </c>
      <c r="D13" s="5" t="n">
        <v>0.3726492016281043</v>
      </c>
      <c r="E13" s="5" t="n">
        <v>0.0415980682691252</v>
      </c>
      <c r="F13" s="5" t="n">
        <v>0.1683561092624936</v>
      </c>
      <c r="G13" s="5" t="n">
        <v>0.028926736955934</v>
      </c>
      <c r="H13" s="5" t="n">
        <v>0.0951036379018612</v>
      </c>
      <c r="I13" s="5" t="n">
        <v>0.09682804674457419</v>
      </c>
    </row>
    <row r="14">
      <c r="A14" s="2" t="inlineStr">
        <is>
          <t>Last earnings date</t>
        </is>
      </c>
      <c r="B14" s="2" t="inlineStr">
        <is>
          <t>2026-08-06</t>
        </is>
      </c>
      <c r="C14" s="2" t="inlineStr">
        <is>
          <t>2026-09-10</t>
        </is>
      </c>
      <c r="D14" s="2" t="inlineStr">
        <is>
          <t>2026-09-10</t>
        </is>
      </c>
      <c r="E14" s="2" t="inlineStr">
        <is>
          <t>2026-07-22</t>
        </is>
      </c>
      <c r="F14" s="2" t="inlineStr">
        <is>
          <t>2026-07-30</t>
        </is>
      </c>
      <c r="G14" s="2" t="inlineStr">
        <is>
          <t>2026-06-30</t>
        </is>
      </c>
      <c r="H14" s="2" t="inlineStr">
        <is>
          <t>2026-07-29</t>
        </is>
      </c>
      <c r="I14" s="2" t="inlineStr">
        <is>
          <t>2026-08-04</t>
        </is>
      </c>
    </row>
    <row r="15">
      <c r="A15" s="2" t="inlineStr">
        <is>
          <t>Last earnings 2d excess vs SPY</t>
        </is>
      </c>
      <c r="B15" s="5" t="n">
        <v>0.163240960299964</v>
      </c>
      <c r="C15" s="5" t="n">
        <v>-0.0127983389168289</v>
      </c>
      <c r="D15" s="5" t="n">
        <v>-0.067417988864058</v>
      </c>
      <c r="E15" s="5" t="n">
        <v>-0.0306436746976243</v>
      </c>
      <c r="F15" s="5" t="n">
        <v>-0.1310742427645663</v>
      </c>
      <c r="G15" s="5" t="n">
        <v>0.031666873156013</v>
      </c>
      <c r="H15" s="5" t="n">
        <v>0.0255527991132553</v>
      </c>
      <c r="I15" s="5" t="n">
        <v>-0.0244268333586019</v>
      </c>
    </row>
    <row r="16">
      <c r="A16" s="2" t="inlineStr">
        <is>
          <t>Avg abs earnings move (8Q)</t>
        </is>
      </c>
      <c r="B16" s="5" t="n">
        <v>0.0608102191961829</v>
      </c>
      <c r="C16" s="5" t="n">
        <v>0.0685031869847753</v>
      </c>
      <c r="D16" s="5" t="n">
        <v>0.0507253405307611</v>
      </c>
      <c r="E16" s="5" t="n">
        <v>0.0578558275145447</v>
      </c>
      <c r="F16" s="5" t="n">
        <v>0.1001718124071078</v>
      </c>
      <c r="G16" s="5" t="n">
        <v>0.0807624053095439</v>
      </c>
      <c r="H16" s="5" t="n">
        <v>0.0384111259622866</v>
      </c>
      <c r="I16" s="5" t="n">
        <v>0.0863693023895088</v>
      </c>
    </row>
    <row r="17">
      <c r="A17" s="2" t="inlineStr">
        <is>
          <t>Next earnings date</t>
        </is>
      </c>
      <c r="B17" s="2" t="inlineStr">
        <is>
          <t>2026-11-05</t>
        </is>
      </c>
      <c r="C17" s="2" t="inlineStr">
        <is>
          <t>2026-12-09</t>
        </is>
      </c>
      <c r="D17" s="2" t="inlineStr">
        <is>
          <t>2026-11-19</t>
        </is>
      </c>
      <c r="E17" s="2" t="inlineStr">
        <is>
          <t>2026-10-28</t>
        </is>
      </c>
      <c r="F17" s="2" t="inlineStr">
        <is>
          <t>2026-11-04</t>
        </is>
      </c>
      <c r="G17" s="2" t="inlineStr">
        <is>
          <t>2026-10-01</t>
        </is>
      </c>
      <c r="H17" s="2" t="inlineStr">
        <is>
          <t>2026-10-28</t>
        </is>
      </c>
      <c r="I17" s="2" t="inlineStr">
        <is>
          <t>2026-10-22</t>
        </is>
      </c>
    </row>
    <row r="18">
      <c r="A18" s="2" t="inlineStr">
        <is>
          <t>FY1 EPS revision 90d</t>
        </is>
      </c>
      <c r="B18" s="5" t="n">
        <v>0.0319454290374232</v>
      </c>
      <c r="C18" s="5" t="n">
        <v>0.0048719802491801</v>
      </c>
      <c r="D18" s="5" t="n">
        <v>-0.0543936218481948</v>
      </c>
      <c r="E18" s="5" t="n">
        <v>0.016096870770619</v>
      </c>
      <c r="F18" s="5" t="n">
        <v>-0.1795193035207184</v>
      </c>
      <c r="G18" s="5" t="n">
        <v>-0.07912506568575919</v>
      </c>
      <c r="H18" s="5" t="n">
        <v>0.0360839978346279</v>
      </c>
      <c r="I18" s="5" t="n">
        <v>-0.0296145679317093</v>
      </c>
    </row>
    <row r="19">
      <c r="A19" s="2" t="inlineStr">
        <is>
          <t># analysts</t>
        </is>
      </c>
      <c r="B19" s="2" t="n">
        <v>40</v>
      </c>
      <c r="C19" s="2" t="n">
        <v>32</v>
      </c>
      <c r="D19" s="2" t="n">
        <v>10</v>
      </c>
      <c r="E19" s="2" t="n">
        <v>33</v>
      </c>
      <c r="F19" s="2" t="n">
        <v>25</v>
      </c>
      <c r="G19" s="2" t="n">
        <v>36</v>
      </c>
      <c r="H19" s="2" t="n">
        <v>30</v>
      </c>
      <c r="I19" s="2" t="n">
        <v>37</v>
      </c>
    </row>
    <row r="20">
      <c r="A20" s="2" t="inlineStr">
        <is>
          <t>Mean target</t>
        </is>
      </c>
      <c r="B20" s="4" t="n">
        <v>184.35</v>
      </c>
      <c r="C20" s="4" t="n">
        <v>275.06375</v>
      </c>
      <c r="D20" s="4" t="n">
        <v>39</v>
      </c>
      <c r="E20" s="4" t="n">
        <v>1230.341</v>
      </c>
      <c r="F20" s="4" t="n">
        <v>20.2</v>
      </c>
      <c r="G20" s="4" t="n">
        <v>45.62778</v>
      </c>
      <c r="H20" s="4" t="n">
        <v>111.83333</v>
      </c>
      <c r="I20" s="4" t="n">
        <v>594.07635</v>
      </c>
    </row>
    <row r="21">
      <c r="A21" s="2" t="inlineStr">
        <is>
          <t>Short % float</t>
        </is>
      </c>
      <c r="B21" s="5" t="n">
        <v>0.035</v>
      </c>
      <c r="C21" s="5" t="n">
        <v>0.0521</v>
      </c>
      <c r="D21" s="5" t="n">
        <v>0.045700002</v>
      </c>
      <c r="E21" s="5" t="n">
        <v>0.032899998</v>
      </c>
      <c r="F21" s="5" t="n">
        <v>0.2343</v>
      </c>
      <c r="G21" s="5" t="n">
        <v>0.08979999</v>
      </c>
      <c r="H21" s="5" t="n">
        <v>0.038900003</v>
      </c>
      <c r="I21" s="5" t="n">
        <v>0.0286</v>
      </c>
    </row>
    <row r="22">
      <c r="A22" s="2" t="inlineStr">
        <is>
          <t>52w perf</t>
        </is>
      </c>
      <c r="B22" s="5" t="n">
        <v>0.32233107</v>
      </c>
      <c r="C22" s="5" t="n">
        <v>-0.31734383</v>
      </c>
      <c r="D22" s="5" t="n">
        <v>-0.38792908</v>
      </c>
      <c r="E22" s="5" t="n">
        <v>0.56787026</v>
      </c>
      <c r="F22" s="5" t="n">
        <v>-0.40333742</v>
      </c>
      <c r="G22" s="5" t="n">
        <v>-0.5252783</v>
      </c>
      <c r="H22" s="5" t="n">
        <v>0.083487034</v>
      </c>
      <c r="I22" s="5" t="n">
        <v>-0.31092888</v>
      </c>
    </row>
    <row r="23">
      <c r="A23" s="2" t="inlineStr">
        <is>
          <t>FY1 EPS est. dispersion (hi-lo)/avg</t>
        </is>
      </c>
      <c r="B23" s="4" t="n">
        <v>0.4131377814501136</v>
      </c>
      <c r="C23" s="4" t="n">
        <v>0.1152736502503498</v>
      </c>
      <c r="D23" s="4" t="n">
        <v>0.1204201939884156</v>
      </c>
      <c r="E23" s="4" t="n">
        <v>0.5162360058267262</v>
      </c>
      <c r="F23" s="4" t="n">
        <v>0.4371283660381199</v>
      </c>
      <c r="G23" s="4" t="n">
        <v>0.8179142236234552</v>
      </c>
      <c r="H23" s="4" t="n">
        <v>0.1442455636475535</v>
      </c>
      <c r="I23" s="4" t="n">
        <v>0.2569748223077506</v>
      </c>
    </row>
    <row r="24">
      <c r="A24" s="2" t="inlineStr">
        <is>
          <t>Target dispersion (hi-lo)/mean</t>
        </is>
      </c>
      <c r="B24" s="4" t="n">
        <v>0.4610794684024952</v>
      </c>
      <c r="C24" s="4" t="n">
        <v>0.6471227124621109</v>
      </c>
      <c r="D24" s="4" t="n">
        <v>0.7692307692307693</v>
      </c>
      <c r="E24" s="4" t="n">
        <v>0.414519226783469</v>
      </c>
      <c r="F24" s="4" t="n">
        <v>0.9405940594059408</v>
      </c>
      <c r="G24" s="4" t="n">
        <v>1.556069569897988</v>
      </c>
      <c r="H24" s="4" t="n">
        <v>0.5543964397733663</v>
      </c>
      <c r="I24" s="4" t="n">
        <v>0.4931163645884909</v>
      </c>
    </row>
    <row r="25">
      <c r="A25" s="2" t="inlineStr">
        <is>
          <t>P/S percentile vs own history</t>
        </is>
      </c>
      <c r="B25" s="5" t="n">
        <v>0.3043478260869565</v>
      </c>
      <c r="C25" s="5" t="n">
        <v>0.1857142857142857</v>
      </c>
      <c r="D25" s="5" t="n">
        <v>0.4461538461538462</v>
      </c>
      <c r="E25" s="5" t="n">
        <v>0.8</v>
      </c>
      <c r="F25" s="5" t="n">
        <v>0</v>
      </c>
      <c r="G25" s="5" t="n">
        <v>0.0579710144927536</v>
      </c>
      <c r="H25" s="5" t="n">
        <v>0.6470588235294118</v>
      </c>
      <c r="I25" s="5" t="n"/>
    </row>
    <row r="26">
      <c r="A26" s="2" t="inlineStr">
        <is>
          <t>Years quarterly XBRL</t>
        </is>
      </c>
      <c r="B26" s="4" t="n">
        <v>6.5</v>
      </c>
      <c r="C26" s="4" t="n">
        <v>18.25</v>
      </c>
      <c r="D26" s="4" t="n">
        <v>17</v>
      </c>
      <c r="E26" s="4" t="n">
        <v>3.5</v>
      </c>
      <c r="F26" s="4" t="n">
        <v>14.5</v>
      </c>
      <c r="G26" s="4" t="n">
        <v>18</v>
      </c>
      <c r="H26" s="4" t="n">
        <v>17.75</v>
      </c>
      <c r="I26" s="4" t="n">
        <v>0</v>
      </c>
    </row>
    <row r="27">
      <c r="A27" s="2" t="inlineStr">
        <is>
          <t>Earnings move / normal 2d move</t>
        </is>
      </c>
      <c r="B27" s="4" t="n">
        <v>2.853841363921409</v>
      </c>
      <c r="C27" s="4" t="n">
        <v>3.61192968187761</v>
      </c>
      <c r="D27" s="4" t="n">
        <v>2.595323869944128</v>
      </c>
      <c r="E27" s="4" t="n">
        <v>1.604179138853047</v>
      </c>
      <c r="F27" s="4" t="n">
        <v>3.1911318374849</v>
      </c>
      <c r="G27" s="4" t="n">
        <v>4.124032176561999</v>
      </c>
      <c r="H27" s="4" t="n">
        <v>2.216086620964064</v>
      </c>
      <c r="I27" s="4" t="n">
        <v>3.036661156178701</v>
      </c>
    </row>
    <row r="28">
      <c r="A28" s="2" t="inlineStr">
        <is>
          <t>Key reported KPIs</t>
        </is>
      </c>
      <c r="B28" s="2" t="inlineStr">
        <is>
          <t>Nights &amp; Seats Booked, ADR, GBV, take rate, Adj. EBITDA margin</t>
        </is>
      </c>
      <c r="C28" s="2" t="inlineStr">
        <is>
          <t>Total Adobe ARR, customer-group subscription revenue, RPO/cRPO, AI-first ARR, MAU</t>
        </is>
      </c>
      <c r="D28" s="2" t="inlineStr">
        <is>
          <t>Global/US insurance units, ASP, revenue per unit, total loss frequency, inventory</t>
        </is>
      </c>
      <c r="E28" s="2" t="inlineStr">
        <is>
          <t>Orders, backlog/RPO, gas GW slots, segment EBITDA margin, FCF</t>
        </is>
      </c>
      <c r="F28" s="2" t="inlineStr">
        <is>
          <t>Net Yield (cc), Adj. NCC ex-fuel per capacity day, occupancy, capacity days, net leverage</t>
        </is>
      </c>
      <c r="G28" s="2" t="inlineStr">
        <is>
          <t>Revenue by geo/channel, NIKE Direct &amp; Digital, gross margin, inventory, Converse</t>
        </is>
      </c>
      <c r="H28" s="2" t="inlineStr">
        <is>
          <t>Comparable sales (transactions/ticket) by region, store count, non-GAAP op margin</t>
        </is>
      </c>
      <c r="I28" s="2" t="inlineStr">
        <is>
          <t>MAU, Premium subs, ARPU, gross margin, operating income, FCF</t>
        </is>
      </c>
    </row>
    <row r="29">
      <c r="A29" s="2" t="inlineStr">
        <is>
          <t>Primary debate</t>
        </is>
      </c>
      <c r="B29" s="2" t="inlineStr">
        <is>
          <t>Can nights growth hold ~10%+ (hotels, services, AI product) or is 2026 a peak? MS: low-DD nights already priced.</t>
        </is>
      </c>
      <c r="C29" s="2" t="inlineStr">
        <is>
          <t>Is gen-AI eroding Creative Cloud seats/pricing (terminal value) vs. AI monetization? New CEO Dec 1.</t>
        </is>
      </c>
      <c r="D29" s="2" t="inlineStr">
        <is>
          <t>Is unit decline cyclical (fewer claims, coverage pullback) or structural (share loss/ADAS)? ASP vs volume.</t>
        </is>
      </c>
      <c r="E29" s="2" t="inlineStr">
        <is>
          <t>Cyclical turbine upcycle vs. secular compounder; how much of 2028-30 is priced at 39x fwd P/E.</t>
        </is>
      </c>
      <c r="F29" s="2" t="inlineStr">
        <is>
          <t>Is NCL-brand yield weakness company-specific &amp; fixable (GSC, revenue mgmt) or structural? Has 2027 reset enough?</t>
        </is>
      </c>
      <c r="G29" s="2" t="inlineStr">
        <is>
          <t>Turnaround timing: when do wholesale gains offset Direct/China declines; GM recovery vs promotions &amp; tariffs.</t>
        </is>
      </c>
      <c r="H29" s="2" t="inlineStr">
        <is>
          <t>Is +8% comp / Back-to-Starbucks durable and is 30x P/E already pricing FY27 margin recovery?</t>
        </is>
      </c>
      <c r="I29" s="2" t="inlineStr">
        <is>
          <t>Margin expansion vs. EUR 200M AI/marketing reinvestment; label economics capping GM; pricing power.</t>
        </is>
      </c>
    </row>
    <row r="30">
      <c r="A30" s="2" t="inlineStr">
        <is>
          <t>Main macro exposure</t>
        </is>
      </c>
      <c r="B30" s="2" t="inlineStr">
        <is>
          <t>Discretionary travel / consumer; FX (USD); regulation of STR in key cities</t>
        </is>
      </c>
      <c r="C30" s="2" t="inlineStr">
        <is>
          <t>Enterprise IT budgets; FX; low macro beta to consumer</t>
        </is>
      </c>
      <c r="D30" s="2" t="inlineStr">
        <is>
          <t>Used-car prices (Manheim), miles driven, auto insurance affordability, rates (interest income on cash)</t>
        </is>
      </c>
      <c r="E30" s="2" t="inlineStr">
        <is>
          <t>Power demand / data-center capex, rates (long-duration multiple), policy (IRA, wind)</t>
        </is>
      </c>
      <c r="F30" s="2" t="inlineStr">
        <is>
          <t>Consumer discretionary, fuel, Middle East/geopolitics, rates (5.3x net leverage), Caribbean pricing</t>
        </is>
      </c>
      <c r="G30" s="2" t="inlineStr">
        <is>
          <t>Consumer, China, tariffs (IEEPA refunds), FX</t>
        </is>
      </c>
      <c r="H30" s="2" t="inlineStr">
        <is>
          <t>Consumer spending, coffee/dairy input costs, labor, China JV</t>
        </is>
      </c>
      <c r="I30" s="2" t="inlineStr">
        <is>
          <t>FX (EUR reporting/USD trading), consumer subscription churn; low cyclicality</t>
        </is>
      </c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Source: yfinance (prices, consensus, multiples) as of 2026-10-01; SEC EDGAR XBRL + 8-K/6-K filing dates; screen.py, screen_proxies.py. P/S percentile uses current share count (approximate).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2026-10-01T20:00:01Z</dcterms:created>
  <dcterms:modified xmlns:dcterms="http://purl.org/dc/terms/" xmlns:xsi="http://www.w3.org/2001/XMLSchema-instance" xsi:type="dcterms:W3CDTF">2026-10-01T20:53:08Z</dcterms:modified>
</cp:coreProperties>
</file>