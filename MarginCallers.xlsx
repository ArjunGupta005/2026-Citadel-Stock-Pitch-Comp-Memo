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/>
  <xr:revisionPtr revIDLastSave="15" documentId="8_{744EA6CA-EDC6-4D76-8A13-0D27E59D20CF}" xr6:coauthVersionLast="47" xr6:coauthVersionMax="47" xr10:uidLastSave="{FF1DE9CF-2C37-4825-9567-FB188CEFE524}"/>
  <bookViews>
    <workbookView xWindow="-110" yWindow="-110" windowWidth="25820" windowHeight="15500" xr2:uid="{00000000-000D-0000-FFFF-FFFF00000000}"/>
  </bookViews>
  <sheets>
    <sheet name="Summary" sheetId="1" r:id="rId1"/>
    <sheet name="Inputs" sheetId="2" r:id="rId2"/>
    <sheet name="Scenarios" sheetId="3" r:id="rId3"/>
    <sheet name="EPS_Build" sheetId="4" r:id="rId4"/>
    <sheet name="Valuation" sheetId="5" r:id="rId5"/>
    <sheet name="Sensitivity" sheetId="6" r:id="rId6"/>
    <sheet name="Consensus" sheetId="7" r:id="rId7"/>
    <sheet name="Catalysts" sheetId="8" r:id="rId8"/>
    <sheet name="Sources" sheetId="9" r:id="rId9"/>
    <sheet name="Checks" sheetId="10" r:id="rId10"/>
  </sheets>
  <definedNames>
    <definedName name="_xlnm.Print_Area" localSheetId="7">Catalysts!$A$1:$E$15</definedName>
    <definedName name="_xlnm.Print_Area" localSheetId="9">Checks!$A$1:$G$42</definedName>
    <definedName name="_xlnm.Print_Area" localSheetId="6">Consensus!$A$1:$G$21</definedName>
    <definedName name="_xlnm.Print_Area" localSheetId="3">EPS_Build!$A$1:$Q$125</definedName>
    <definedName name="_xlnm.Print_Area" localSheetId="1">Inputs!$A$1:$E$57</definedName>
    <definedName name="_xlnm.Print_Area" localSheetId="2">Scenarios!$A$1:$E$26</definedName>
    <definedName name="_xlnm.Print_Area" localSheetId="5">Sensitivity!$A$1:$M$85</definedName>
    <definedName name="_xlnm.Print_Area" localSheetId="8">Sources!$A$1:$H$38</definedName>
    <definedName name="_xlnm.Print_Area" localSheetId="0">Summary!$A$1:$R$44</definedName>
    <definedName name="_xlnm.Print_Area" localSheetId="4">Valuation!$A$1:$E$74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0" l="1"/>
  <c r="E6" i="10"/>
  <c r="D6" i="10"/>
  <c r="C6" i="10"/>
  <c r="F6" i="10" s="1"/>
  <c r="B6" i="10"/>
  <c r="E5" i="10"/>
  <c r="E7" i="10" s="1"/>
  <c r="D5" i="10"/>
  <c r="D7" i="10" s="1"/>
  <c r="C5" i="10"/>
  <c r="B5" i="10"/>
  <c r="B7" i="10" s="1"/>
  <c r="C21" i="7"/>
  <c r="C20" i="7"/>
  <c r="C19" i="7"/>
  <c r="C18" i="7"/>
  <c r="C17" i="7"/>
  <c r="C16" i="7"/>
  <c r="G85" i="6"/>
  <c r="F85" i="6"/>
  <c r="E85" i="6"/>
  <c r="G84" i="6"/>
  <c r="F84" i="6"/>
  <c r="E84" i="6"/>
  <c r="I84" i="6" s="1"/>
  <c r="B31" i="6" s="1"/>
  <c r="G83" i="6"/>
  <c r="F83" i="6"/>
  <c r="E83" i="6"/>
  <c r="I83" i="6" s="1"/>
  <c r="B30" i="6" s="1"/>
  <c r="G82" i="6"/>
  <c r="F82" i="6"/>
  <c r="E82" i="6"/>
  <c r="I82" i="6" s="1"/>
  <c r="B29" i="6" s="1"/>
  <c r="I81" i="6"/>
  <c r="D9" i="6" s="1"/>
  <c r="G81" i="6"/>
  <c r="F81" i="6"/>
  <c r="E81" i="6"/>
  <c r="G80" i="6"/>
  <c r="F80" i="6"/>
  <c r="E80" i="6"/>
  <c r="I80" i="6" s="1"/>
  <c r="I79" i="6"/>
  <c r="B9" i="6" s="1"/>
  <c r="G79" i="6"/>
  <c r="F79" i="6"/>
  <c r="E79" i="6"/>
  <c r="G78" i="6"/>
  <c r="F78" i="6"/>
  <c r="E78" i="6"/>
  <c r="G77" i="6"/>
  <c r="F77" i="6"/>
  <c r="E77" i="6"/>
  <c r="G76" i="6"/>
  <c r="F76" i="6"/>
  <c r="E76" i="6"/>
  <c r="I76" i="6" s="1"/>
  <c r="B8" i="6" s="1"/>
  <c r="G75" i="6"/>
  <c r="F75" i="6"/>
  <c r="E75" i="6"/>
  <c r="I75" i="6" s="1"/>
  <c r="D7" i="6" s="1"/>
  <c r="I74" i="6"/>
  <c r="G74" i="6"/>
  <c r="F74" i="6"/>
  <c r="E74" i="6"/>
  <c r="G73" i="6"/>
  <c r="F73" i="6"/>
  <c r="E73" i="6"/>
  <c r="I73" i="6" s="1"/>
  <c r="B7" i="6" s="1"/>
  <c r="B64" i="6"/>
  <c r="B68" i="5"/>
  <c r="B60" i="5"/>
  <c r="E45" i="5"/>
  <c r="D45" i="5"/>
  <c r="C45" i="5"/>
  <c r="B45" i="5"/>
  <c r="E41" i="5"/>
  <c r="D41" i="5"/>
  <c r="C41" i="5"/>
  <c r="B41" i="5"/>
  <c r="E34" i="5"/>
  <c r="D34" i="5"/>
  <c r="C34" i="5"/>
  <c r="B34" i="5"/>
  <c r="E32" i="5"/>
  <c r="D32" i="5"/>
  <c r="D36" i="5" s="1"/>
  <c r="C32" i="5"/>
  <c r="B32" i="5"/>
  <c r="E31" i="5"/>
  <c r="D31" i="5"/>
  <c r="C31" i="5"/>
  <c r="B31" i="5"/>
  <c r="E21" i="5"/>
  <c r="D21" i="5"/>
  <c r="C21" i="5"/>
  <c r="B21" i="5"/>
  <c r="E13" i="5"/>
  <c r="D13" i="5"/>
  <c r="C13" i="5"/>
  <c r="B13" i="5"/>
  <c r="E8" i="5"/>
  <c r="D8" i="5"/>
  <c r="C8" i="5"/>
  <c r="B8" i="5"/>
  <c r="I113" i="4"/>
  <c r="H113" i="4"/>
  <c r="G113" i="4"/>
  <c r="F113" i="4"/>
  <c r="E113" i="4"/>
  <c r="C113" i="4"/>
  <c r="B113" i="4"/>
  <c r="G112" i="4"/>
  <c r="F112" i="4"/>
  <c r="E112" i="4"/>
  <c r="C112" i="4"/>
  <c r="B112" i="4"/>
  <c r="G111" i="4"/>
  <c r="E111" i="4"/>
  <c r="J111" i="4" s="1"/>
  <c r="C111" i="4"/>
  <c r="B111" i="4"/>
  <c r="G110" i="4"/>
  <c r="C110" i="4"/>
  <c r="B110" i="4"/>
  <c r="C109" i="4"/>
  <c r="J107" i="4"/>
  <c r="B117" i="4" s="1"/>
  <c r="E98" i="4"/>
  <c r="D98" i="4"/>
  <c r="C98" i="4"/>
  <c r="B98" i="4"/>
  <c r="E97" i="4"/>
  <c r="D97" i="4"/>
  <c r="C97" i="4"/>
  <c r="B97" i="4"/>
  <c r="F97" i="4" s="1"/>
  <c r="E95" i="4"/>
  <c r="D95" i="4"/>
  <c r="C95" i="4"/>
  <c r="B95" i="4"/>
  <c r="E92" i="4"/>
  <c r="D92" i="4"/>
  <c r="C92" i="4"/>
  <c r="B92" i="4"/>
  <c r="F91" i="4"/>
  <c r="E91" i="4"/>
  <c r="D91" i="4"/>
  <c r="C91" i="4"/>
  <c r="B91" i="4"/>
  <c r="E88" i="4"/>
  <c r="D88" i="4"/>
  <c r="C88" i="4"/>
  <c r="B88" i="4"/>
  <c r="E86" i="4"/>
  <c r="D86" i="4"/>
  <c r="C86" i="4"/>
  <c r="B86" i="4"/>
  <c r="E85" i="4"/>
  <c r="D85" i="4"/>
  <c r="C85" i="4"/>
  <c r="B85" i="4"/>
  <c r="D81" i="4"/>
  <c r="D82" i="4" s="1"/>
  <c r="D83" i="4" s="1"/>
  <c r="C81" i="4"/>
  <c r="C82" i="4" s="1"/>
  <c r="C83" i="4" s="1"/>
  <c r="B81" i="4"/>
  <c r="B82" i="4" s="1"/>
  <c r="B83" i="4" s="1"/>
  <c r="E73" i="4"/>
  <c r="D73" i="4"/>
  <c r="C73" i="4"/>
  <c r="B73" i="4"/>
  <c r="E72" i="4"/>
  <c r="D72" i="4"/>
  <c r="C72" i="4"/>
  <c r="B72" i="4"/>
  <c r="E70" i="4"/>
  <c r="D70" i="4"/>
  <c r="C70" i="4"/>
  <c r="B70" i="4"/>
  <c r="F70" i="4" s="1"/>
  <c r="E67" i="4"/>
  <c r="D67" i="4"/>
  <c r="C67" i="4"/>
  <c r="B67" i="4"/>
  <c r="F67" i="4" s="1"/>
  <c r="E66" i="4"/>
  <c r="D66" i="4"/>
  <c r="C66" i="4"/>
  <c r="B66" i="4"/>
  <c r="E63" i="4"/>
  <c r="D63" i="4"/>
  <c r="C63" i="4"/>
  <c r="B63" i="4"/>
  <c r="E61" i="4"/>
  <c r="D61" i="4"/>
  <c r="C61" i="4"/>
  <c r="B61" i="4"/>
  <c r="E60" i="4"/>
  <c r="D60" i="4"/>
  <c r="C60" i="4"/>
  <c r="B60" i="4"/>
  <c r="D56" i="4"/>
  <c r="D57" i="4" s="1"/>
  <c r="D58" i="4" s="1"/>
  <c r="D62" i="4" s="1"/>
  <c r="C56" i="4"/>
  <c r="C57" i="4" s="1"/>
  <c r="C58" i="4" s="1"/>
  <c r="B56" i="4"/>
  <c r="B57" i="4" s="1"/>
  <c r="B58" i="4" s="1"/>
  <c r="E48" i="4"/>
  <c r="D48" i="4"/>
  <c r="C48" i="4"/>
  <c r="B48" i="4"/>
  <c r="E47" i="4"/>
  <c r="D47" i="4"/>
  <c r="C47" i="4"/>
  <c r="B47" i="4"/>
  <c r="E45" i="4"/>
  <c r="D45" i="4"/>
  <c r="C45" i="4"/>
  <c r="B45" i="4"/>
  <c r="E42" i="4"/>
  <c r="D42" i="4"/>
  <c r="C42" i="4"/>
  <c r="B42" i="4"/>
  <c r="E41" i="4"/>
  <c r="D41" i="4"/>
  <c r="C41" i="4"/>
  <c r="B41" i="4"/>
  <c r="E38" i="4"/>
  <c r="D38" i="4"/>
  <c r="C38" i="4"/>
  <c r="B38" i="4"/>
  <c r="F38" i="4" s="1"/>
  <c r="E36" i="4"/>
  <c r="D36" i="4"/>
  <c r="C36" i="4"/>
  <c r="B36" i="4"/>
  <c r="E35" i="4"/>
  <c r="D35" i="4"/>
  <c r="C35" i="4"/>
  <c r="B35" i="4"/>
  <c r="D32" i="4"/>
  <c r="D33" i="4" s="1"/>
  <c r="D37" i="4" s="1"/>
  <c r="D31" i="4"/>
  <c r="C31" i="4"/>
  <c r="C32" i="4" s="1"/>
  <c r="C33" i="4" s="1"/>
  <c r="C34" i="4" s="1"/>
  <c r="B31" i="4"/>
  <c r="B32" i="4" s="1"/>
  <c r="E23" i="4"/>
  <c r="D23" i="4"/>
  <c r="C23" i="4"/>
  <c r="B23" i="4"/>
  <c r="E22" i="4"/>
  <c r="D22" i="4"/>
  <c r="C22" i="4"/>
  <c r="B22" i="4"/>
  <c r="E20" i="4"/>
  <c r="F20" i="4" s="1"/>
  <c r="D20" i="4"/>
  <c r="C20" i="4"/>
  <c r="B20" i="4"/>
  <c r="E17" i="4"/>
  <c r="D17" i="4"/>
  <c r="C17" i="4"/>
  <c r="B17" i="4"/>
  <c r="F17" i="4" s="1"/>
  <c r="E16" i="4"/>
  <c r="D16" i="4"/>
  <c r="C16" i="4"/>
  <c r="B16" i="4"/>
  <c r="E13" i="4"/>
  <c r="D13" i="4"/>
  <c r="C13" i="4"/>
  <c r="B13" i="4"/>
  <c r="F13" i="4" s="1"/>
  <c r="E11" i="4"/>
  <c r="D11" i="4"/>
  <c r="C11" i="4"/>
  <c r="B11" i="4"/>
  <c r="E10" i="4"/>
  <c r="D10" i="4"/>
  <c r="C10" i="4"/>
  <c r="B10" i="4"/>
  <c r="F10" i="4" s="1"/>
  <c r="C7" i="4"/>
  <c r="C8" i="4" s="1"/>
  <c r="D6" i="4"/>
  <c r="D7" i="4" s="1"/>
  <c r="D8" i="4" s="1"/>
  <c r="C6" i="4"/>
  <c r="B6" i="4"/>
  <c r="B7" i="4" s="1"/>
  <c r="B8" i="4" s="1"/>
  <c r="B18" i="3"/>
  <c r="B11" i="10" s="1"/>
  <c r="B35" i="2"/>
  <c r="B62" i="5" s="1"/>
  <c r="B34" i="2"/>
  <c r="C40" i="6" s="1"/>
  <c r="B23" i="2"/>
  <c r="B22" i="2"/>
  <c r="E55" i="2" s="1"/>
  <c r="B44" i="1"/>
  <c r="B43" i="1"/>
  <c r="A43" i="1"/>
  <c r="B39" i="1"/>
  <c r="B38" i="1"/>
  <c r="B37" i="1"/>
  <c r="B36" i="1"/>
  <c r="B23" i="1"/>
  <c r="B22" i="1"/>
  <c r="B21" i="1"/>
  <c r="B20" i="1"/>
  <c r="F14" i="1"/>
  <c r="F13" i="1"/>
  <c r="F12" i="1"/>
  <c r="B10" i="1"/>
  <c r="D12" i="4" l="1"/>
  <c r="D9" i="4"/>
  <c r="B87" i="4"/>
  <c r="B84" i="4"/>
  <c r="B89" i="4" s="1"/>
  <c r="B90" i="4" s="1"/>
  <c r="D84" i="4"/>
  <c r="D87" i="4"/>
  <c r="E117" i="4"/>
  <c r="C117" i="4"/>
  <c r="F5" i="10"/>
  <c r="F66" i="4"/>
  <c r="F92" i="4"/>
  <c r="J113" i="4"/>
  <c r="F22" i="4"/>
  <c r="F73" i="4"/>
  <c r="B36" i="5"/>
  <c r="B33" i="5"/>
  <c r="B61" i="5"/>
  <c r="B25" i="2"/>
  <c r="F41" i="4"/>
  <c r="F95" i="4"/>
  <c r="F98" i="4"/>
  <c r="C36" i="5"/>
  <c r="C33" i="5"/>
  <c r="F23" i="4"/>
  <c r="F45" i="4"/>
  <c r="F60" i="4"/>
  <c r="F63" i="4"/>
  <c r="F85" i="4"/>
  <c r="E33" i="5"/>
  <c r="C7" i="10"/>
  <c r="E36" i="5"/>
  <c r="C38" i="6"/>
  <c r="C84" i="4"/>
  <c r="C87" i="4"/>
  <c r="C59" i="4"/>
  <c r="C62" i="4"/>
  <c r="B94" i="4"/>
  <c r="H81" i="6"/>
  <c r="J81" i="6" s="1"/>
  <c r="D14" i="6" s="1"/>
  <c r="H73" i="6"/>
  <c r="J73" i="6" s="1"/>
  <c r="B12" i="6" s="1"/>
  <c r="H80" i="6"/>
  <c r="H79" i="6"/>
  <c r="J108" i="4"/>
  <c r="K108" i="4" s="1"/>
  <c r="E56" i="4"/>
  <c r="E57" i="4" s="1"/>
  <c r="E58" i="4" s="1"/>
  <c r="H78" i="6"/>
  <c r="J78" i="6" s="1"/>
  <c r="D13" i="6" s="1"/>
  <c r="H85" i="6"/>
  <c r="K85" i="6" s="1"/>
  <c r="H77" i="6"/>
  <c r="K77" i="6" s="1"/>
  <c r="H84" i="6"/>
  <c r="J84" i="6" s="1"/>
  <c r="C31" i="6" s="1"/>
  <c r="H76" i="6"/>
  <c r="L76" i="6" s="1"/>
  <c r="E81" i="4"/>
  <c r="E82" i="4" s="1"/>
  <c r="E83" i="4" s="1"/>
  <c r="H82" i="6"/>
  <c r="H74" i="6"/>
  <c r="E31" i="4"/>
  <c r="E32" i="4" s="1"/>
  <c r="E33" i="4" s="1"/>
  <c r="E6" i="4"/>
  <c r="E7" i="4" s="1"/>
  <c r="E8" i="4" s="1"/>
  <c r="J109" i="4"/>
  <c r="K109" i="4" s="1"/>
  <c r="B119" i="4" s="1"/>
  <c r="H83" i="6"/>
  <c r="K83" i="6" s="1"/>
  <c r="H75" i="6"/>
  <c r="K75" i="6" s="1"/>
  <c r="C9" i="4"/>
  <c r="C12" i="4"/>
  <c r="B33" i="4"/>
  <c r="C13" i="8"/>
  <c r="B59" i="4"/>
  <c r="B62" i="4"/>
  <c r="J85" i="6"/>
  <c r="C32" i="6" s="1"/>
  <c r="F48" i="4"/>
  <c r="F88" i="4"/>
  <c r="L77" i="6"/>
  <c r="M77" i="6" s="1"/>
  <c r="L81" i="6"/>
  <c r="B9" i="4"/>
  <c r="B12" i="4"/>
  <c r="F72" i="4"/>
  <c r="I78" i="6"/>
  <c r="D8" i="6" s="1"/>
  <c r="J79" i="6"/>
  <c r="B14" i="6" s="1"/>
  <c r="J74" i="6"/>
  <c r="B25" i="6"/>
  <c r="C9" i="6"/>
  <c r="F7" i="10"/>
  <c r="F35" i="4"/>
  <c r="C37" i="4"/>
  <c r="C39" i="4" s="1"/>
  <c r="D59" i="4"/>
  <c r="D64" i="4" s="1"/>
  <c r="J82" i="6"/>
  <c r="C29" i="6" s="1"/>
  <c r="J110" i="4"/>
  <c r="K111" i="4" s="1"/>
  <c r="B121" i="4" s="1"/>
  <c r="J77" i="6"/>
  <c r="F16" i="4"/>
  <c r="D34" i="4"/>
  <c r="D39" i="4" s="1"/>
  <c r="B24" i="2"/>
  <c r="B18" i="10" s="1"/>
  <c r="F42" i="4"/>
  <c r="F47" i="4"/>
  <c r="D89" i="4"/>
  <c r="J112" i="4"/>
  <c r="K112" i="4" s="1"/>
  <c r="B122" i="4" s="1"/>
  <c r="B23" i="6"/>
  <c r="C7" i="6"/>
  <c r="D33" i="5"/>
  <c r="K81" i="6"/>
  <c r="C36" i="6"/>
  <c r="C39" i="6"/>
  <c r="I77" i="6"/>
  <c r="I85" i="6"/>
  <c r="B32" i="6" s="1"/>
  <c r="B12" i="10"/>
  <c r="C37" i="6"/>
  <c r="B99" i="4" l="1"/>
  <c r="B96" i="4"/>
  <c r="K78" i="6"/>
  <c r="B93" i="4"/>
  <c r="B101" i="4"/>
  <c r="L78" i="6"/>
  <c r="L73" i="6"/>
  <c r="M73" i="6" s="1"/>
  <c r="B17" i="6" s="1"/>
  <c r="C64" i="4"/>
  <c r="C74" i="4" s="1"/>
  <c r="C75" i="4" s="1"/>
  <c r="D14" i="4"/>
  <c r="F121" i="4"/>
  <c r="G121" i="4"/>
  <c r="G119" i="4"/>
  <c r="F119" i="4"/>
  <c r="D99" i="4"/>
  <c r="D100" i="4" s="1"/>
  <c r="D94" i="4"/>
  <c r="D90" i="4"/>
  <c r="D93" i="4"/>
  <c r="D96" i="4"/>
  <c r="D101" i="4"/>
  <c r="E19" i="5" s="1"/>
  <c r="C40" i="4"/>
  <c r="C46" i="4"/>
  <c r="C49" i="4"/>
  <c r="C50" i="4" s="1"/>
  <c r="C44" i="4"/>
  <c r="C23" i="5" s="1"/>
  <c r="C51" i="4"/>
  <c r="C43" i="4"/>
  <c r="K84" i="6"/>
  <c r="K113" i="4"/>
  <c r="L84" i="6"/>
  <c r="M84" i="6" s="1"/>
  <c r="D31" i="6" s="1"/>
  <c r="E31" i="6" s="1"/>
  <c r="K76" i="6"/>
  <c r="M76" i="6" s="1"/>
  <c r="B18" i="6" s="1"/>
  <c r="D51" i="4"/>
  <c r="C19" i="5" s="1"/>
  <c r="D43" i="4"/>
  <c r="D49" i="4"/>
  <c r="D50" i="4" s="1"/>
  <c r="D44" i="4"/>
  <c r="D46" i="4"/>
  <c r="C38" i="1" s="1"/>
  <c r="D40" i="4"/>
  <c r="M81" i="6"/>
  <c r="D19" i="6" s="1"/>
  <c r="B64" i="4"/>
  <c r="E34" i="4"/>
  <c r="E37" i="4"/>
  <c r="E22" i="5"/>
  <c r="J80" i="6"/>
  <c r="K80" i="6"/>
  <c r="C12" i="6"/>
  <c r="C23" i="6"/>
  <c r="J76" i="6"/>
  <c r="B13" i="6" s="1"/>
  <c r="J75" i="6"/>
  <c r="D12" i="6" s="1"/>
  <c r="D24" i="6"/>
  <c r="E24" i="6" s="1"/>
  <c r="C18" i="6"/>
  <c r="L74" i="6"/>
  <c r="K74" i="6"/>
  <c r="E62" i="4"/>
  <c r="F62" i="4" s="1"/>
  <c r="E59" i="4"/>
  <c r="B100" i="4"/>
  <c r="C65" i="4"/>
  <c r="C71" i="4"/>
  <c r="C69" i="4"/>
  <c r="D23" i="5" s="1"/>
  <c r="C76" i="4"/>
  <c r="C68" i="4"/>
  <c r="F122" i="4"/>
  <c r="G122" i="4"/>
  <c r="J83" i="6"/>
  <c r="C30" i="6" s="1"/>
  <c r="L85" i="6"/>
  <c r="M85" i="6" s="1"/>
  <c r="D32" i="6" s="1"/>
  <c r="E32" i="6" s="1"/>
  <c r="K73" i="6"/>
  <c r="C24" i="6"/>
  <c r="C13" i="6"/>
  <c r="L83" i="6"/>
  <c r="M83" i="6" s="1"/>
  <c r="D30" i="6" s="1"/>
  <c r="E30" i="6" s="1"/>
  <c r="L75" i="6"/>
  <c r="M75" i="6" s="1"/>
  <c r="D17" i="6" s="1"/>
  <c r="B37" i="4"/>
  <c r="F37" i="4" s="1"/>
  <c r="B34" i="4"/>
  <c r="L82" i="6"/>
  <c r="K82" i="6"/>
  <c r="B118" i="4"/>
  <c r="M78" i="6"/>
  <c r="D18" i="6" s="1"/>
  <c r="F12" i="4"/>
  <c r="L80" i="6"/>
  <c r="M80" i="6" s="1"/>
  <c r="D65" i="4"/>
  <c r="D76" i="4"/>
  <c r="D19" i="5" s="1"/>
  <c r="D68" i="4"/>
  <c r="D74" i="4"/>
  <c r="D71" i="4"/>
  <c r="D69" i="4"/>
  <c r="B14" i="4"/>
  <c r="F9" i="4"/>
  <c r="E9" i="4"/>
  <c r="E12" i="4"/>
  <c r="B24" i="6"/>
  <c r="C8" i="6"/>
  <c r="K110" i="4"/>
  <c r="B120" i="4" s="1"/>
  <c r="C14" i="4"/>
  <c r="E84" i="4"/>
  <c r="E87" i="4"/>
  <c r="F87" i="4" s="1"/>
  <c r="K79" i="6"/>
  <c r="L79" i="6"/>
  <c r="C89" i="4"/>
  <c r="E64" i="4" l="1"/>
  <c r="E65" i="4" s="1"/>
  <c r="F59" i="4"/>
  <c r="M82" i="6"/>
  <c r="D29" i="6" s="1"/>
  <c r="E29" i="6" s="1"/>
  <c r="M79" i="6"/>
  <c r="B19" i="6" s="1"/>
  <c r="D18" i="4"/>
  <c r="D24" i="4"/>
  <c r="D25" i="4" s="1"/>
  <c r="D15" i="4"/>
  <c r="D26" i="4"/>
  <c r="B19" i="5" s="1"/>
  <c r="D19" i="4"/>
  <c r="D21" i="4"/>
  <c r="M74" i="6"/>
  <c r="B17" i="7"/>
  <c r="D17" i="7" s="1"/>
  <c r="C37" i="1"/>
  <c r="G120" i="4"/>
  <c r="F120" i="4"/>
  <c r="C14" i="6"/>
  <c r="C25" i="6"/>
  <c r="D75" i="4"/>
  <c r="G118" i="4"/>
  <c r="F118" i="4"/>
  <c r="C118" i="4"/>
  <c r="C96" i="4"/>
  <c r="C99" i="4"/>
  <c r="C94" i="4"/>
  <c r="C93" i="4"/>
  <c r="C101" i="4"/>
  <c r="C90" i="4"/>
  <c r="B69" i="4"/>
  <c r="B76" i="4"/>
  <c r="B68" i="4"/>
  <c r="B65" i="4"/>
  <c r="B71" i="4"/>
  <c r="B74" i="4"/>
  <c r="C19" i="6"/>
  <c r="D25" i="6"/>
  <c r="E25" i="6" s="1"/>
  <c r="E89" i="4"/>
  <c r="F84" i="4"/>
  <c r="B21" i="4"/>
  <c r="B19" i="4"/>
  <c r="B18" i="4"/>
  <c r="B26" i="4"/>
  <c r="B24" i="4"/>
  <c r="B15" i="4"/>
  <c r="F14" i="4"/>
  <c r="C24" i="4"/>
  <c r="C15" i="4"/>
  <c r="C19" i="4"/>
  <c r="B23" i="5" s="1"/>
  <c r="C18" i="4"/>
  <c r="C26" i="4"/>
  <c r="C21" i="4"/>
  <c r="E14" i="4"/>
  <c r="F34" i="4"/>
  <c r="B39" i="4"/>
  <c r="E39" i="4"/>
  <c r="E74" i="4" l="1"/>
  <c r="E69" i="4"/>
  <c r="E71" i="4"/>
  <c r="F64" i="4"/>
  <c r="E68" i="4"/>
  <c r="E76" i="4"/>
  <c r="D20" i="5" s="1"/>
  <c r="F76" i="4"/>
  <c r="C100" i="4"/>
  <c r="E94" i="4"/>
  <c r="E101" i="4"/>
  <c r="E20" i="5" s="1"/>
  <c r="E93" i="4"/>
  <c r="E99" i="4"/>
  <c r="E96" i="4"/>
  <c r="F96" i="4" s="1"/>
  <c r="E9" i="5" s="1"/>
  <c r="C23" i="1" s="1"/>
  <c r="E90" i="4"/>
  <c r="D22" i="5"/>
  <c r="F69" i="4"/>
  <c r="D12" i="5" s="1"/>
  <c r="D14" i="5" s="1"/>
  <c r="E46" i="4"/>
  <c r="C39" i="1" s="1"/>
  <c r="E44" i="4"/>
  <c r="E51" i="4"/>
  <c r="C20" i="5" s="1"/>
  <c r="E43" i="4"/>
  <c r="E40" i="4"/>
  <c r="E49" i="4"/>
  <c r="B25" i="4"/>
  <c r="B75" i="4"/>
  <c r="F74" i="4"/>
  <c r="D11" i="5" s="1"/>
  <c r="D22" i="1" s="1"/>
  <c r="C119" i="4"/>
  <c r="D119" i="4" s="1"/>
  <c r="D118" i="4"/>
  <c r="F89" i="4"/>
  <c r="F71" i="4"/>
  <c r="D9" i="5" s="1"/>
  <c r="C22" i="1" s="1"/>
  <c r="E75" i="4"/>
  <c r="E23" i="5"/>
  <c r="F94" i="4"/>
  <c r="E12" i="5" s="1"/>
  <c r="E14" i="5" s="1"/>
  <c r="F15" i="4"/>
  <c r="F18" i="4"/>
  <c r="B51" i="4"/>
  <c r="B43" i="4"/>
  <c r="C14" i="8" s="1"/>
  <c r="F39" i="4"/>
  <c r="B46" i="4"/>
  <c r="B44" i="4"/>
  <c r="B49" i="4"/>
  <c r="B40" i="4"/>
  <c r="E15" i="4"/>
  <c r="E21" i="4"/>
  <c r="F21" i="4" s="1"/>
  <c r="B9" i="5" s="1"/>
  <c r="C20" i="1" s="1"/>
  <c r="E18" i="4"/>
  <c r="E24" i="4"/>
  <c r="E26" i="4"/>
  <c r="B20" i="5" s="1"/>
  <c r="E19" i="4"/>
  <c r="C25" i="4"/>
  <c r="B22" i="5"/>
  <c r="F65" i="4"/>
  <c r="F68" i="4"/>
  <c r="C17" i="6"/>
  <c r="D23" i="6"/>
  <c r="E23" i="6" s="1"/>
  <c r="E25" i="4" l="1"/>
  <c r="F25" i="4" s="1"/>
  <c r="B10" i="5" s="1"/>
  <c r="E24" i="5"/>
  <c r="E69" i="5" s="1"/>
  <c r="B25" i="5"/>
  <c r="C22" i="5"/>
  <c r="F44" i="4"/>
  <c r="C12" i="5" s="1"/>
  <c r="C24" i="5"/>
  <c r="F75" i="4"/>
  <c r="D10" i="5" s="1"/>
  <c r="E25" i="5"/>
  <c r="E100" i="4"/>
  <c r="F100" i="4" s="1"/>
  <c r="E10" i="5" s="1"/>
  <c r="F49" i="4"/>
  <c r="B50" i="4"/>
  <c r="C120" i="4"/>
  <c r="D120" i="4" s="1"/>
  <c r="C36" i="1"/>
  <c r="F46" i="4"/>
  <c r="B16" i="7"/>
  <c r="F101" i="4"/>
  <c r="F40" i="4"/>
  <c r="F43" i="4"/>
  <c r="F51" i="4"/>
  <c r="F90" i="4"/>
  <c r="F93" i="4"/>
  <c r="F24" i="4"/>
  <c r="B11" i="5" s="1"/>
  <c r="D25" i="5"/>
  <c r="D24" i="5"/>
  <c r="F99" i="4"/>
  <c r="E11" i="5" s="1"/>
  <c r="D23" i="1" s="1"/>
  <c r="B24" i="5"/>
  <c r="C25" i="5"/>
  <c r="F19" i="4"/>
  <c r="B12" i="5" s="1"/>
  <c r="B14" i="5" s="1"/>
  <c r="F26" i="4"/>
  <c r="E50" i="4"/>
  <c r="E23" i="1" l="1"/>
  <c r="D16" i="7"/>
  <c r="G12" i="1" s="1"/>
  <c r="E12" i="1"/>
  <c r="E38" i="5"/>
  <c r="E26" i="5"/>
  <c r="E35" i="5" s="1"/>
  <c r="E37" i="5" s="1"/>
  <c r="B59" i="5"/>
  <c r="D38" i="5"/>
  <c r="D26" i="5"/>
  <c r="D35" i="5" s="1"/>
  <c r="D37" i="5" s="1"/>
  <c r="D39" i="5" s="1"/>
  <c r="C45" i="6"/>
  <c r="D37" i="6"/>
  <c r="B45" i="6"/>
  <c r="D39" i="6"/>
  <c r="C38" i="5"/>
  <c r="C26" i="5"/>
  <c r="C35" i="5" s="1"/>
  <c r="C37" i="5" s="1"/>
  <c r="C39" i="5" s="1"/>
  <c r="D36" i="6"/>
  <c r="D38" i="6"/>
  <c r="C64" i="6"/>
  <c r="D45" i="6"/>
  <c r="D40" i="6"/>
  <c r="E45" i="6"/>
  <c r="C69" i="5"/>
  <c r="E21" i="1"/>
  <c r="D20" i="1"/>
  <c r="B18" i="7"/>
  <c r="B19" i="7"/>
  <c r="C9" i="5"/>
  <c r="C21" i="1" s="1"/>
  <c r="B123" i="4"/>
  <c r="B15" i="10"/>
  <c r="B14" i="10"/>
  <c r="E44" i="6"/>
  <c r="C14" i="5"/>
  <c r="B21" i="7" s="1"/>
  <c r="D21" i="7" s="1"/>
  <c r="D44" i="6"/>
  <c r="C44" i="6"/>
  <c r="B44" i="6"/>
  <c r="B20" i="7"/>
  <c r="D20" i="7" s="1"/>
  <c r="C11" i="5"/>
  <c r="B125" i="4"/>
  <c r="E20" i="1"/>
  <c r="B69" i="5"/>
  <c r="C121" i="4"/>
  <c r="D121" i="4" s="1"/>
  <c r="B58" i="5"/>
  <c r="E22" i="1"/>
  <c r="D69" i="5"/>
  <c r="F50" i="4"/>
  <c r="E39" i="6"/>
  <c r="B38" i="5"/>
  <c r="B26" i="5"/>
  <c r="C46" i="6"/>
  <c r="E38" i="6"/>
  <c r="E37" i="6"/>
  <c r="D64" i="6"/>
  <c r="E40" i="6"/>
  <c r="B46" i="6"/>
  <c r="E36" i="6"/>
  <c r="E46" i="6"/>
  <c r="D46" i="6"/>
  <c r="B70" i="5" l="1"/>
  <c r="B14" i="1" s="1"/>
  <c r="B63" i="5"/>
  <c r="B64" i="5" s="1"/>
  <c r="B65" i="5" s="1"/>
  <c r="B69" i="6" s="1"/>
  <c r="E39" i="5"/>
  <c r="C42" i="5"/>
  <c r="C40" i="5"/>
  <c r="F21" i="1" s="1"/>
  <c r="C51" i="6"/>
  <c r="D51" i="6" s="1"/>
  <c r="C53" i="6"/>
  <c r="D53" i="6" s="1"/>
  <c r="C52" i="6"/>
  <c r="D52" i="6" s="1"/>
  <c r="D21" i="1"/>
  <c r="E42" i="5"/>
  <c r="E40" i="5"/>
  <c r="F23" i="1" s="1"/>
  <c r="B21" i="10"/>
  <c r="B35" i="5"/>
  <c r="E13" i="1"/>
  <c r="D18" i="7"/>
  <c r="G13" i="1" s="1"/>
  <c r="C123" i="4"/>
  <c r="E123" i="4"/>
  <c r="B16" i="10"/>
  <c r="D42" i="5"/>
  <c r="D40" i="5"/>
  <c r="F22" i="1" s="1"/>
  <c r="C10" i="5"/>
  <c r="B17" i="10" s="1"/>
  <c r="B124" i="4"/>
  <c r="C125" i="4"/>
  <c r="E125" i="4"/>
  <c r="B16" i="1"/>
  <c r="C122" i="4"/>
  <c r="D19" i="7"/>
  <c r="G14" i="1" s="1"/>
  <c r="E14" i="1"/>
  <c r="C124" i="4" l="1"/>
  <c r="D124" i="4" s="1"/>
  <c r="E46" i="5"/>
  <c r="E43" i="5"/>
  <c r="G23" i="1"/>
  <c r="F124" i="4"/>
  <c r="G124" i="4"/>
  <c r="B20" i="10"/>
  <c r="B37" i="5"/>
  <c r="B39" i="5" s="1"/>
  <c r="C46" i="5"/>
  <c r="B53" i="5"/>
  <c r="B11" i="1" s="1"/>
  <c r="C43" i="5"/>
  <c r="G21" i="1"/>
  <c r="B13" i="10"/>
  <c r="B22" i="10"/>
  <c r="D122" i="4"/>
  <c r="D46" i="5"/>
  <c r="D43" i="5"/>
  <c r="D44" i="5" s="1"/>
  <c r="H22" i="1" s="1"/>
  <c r="G22" i="1"/>
  <c r="C44" i="5" l="1"/>
  <c r="H21" i="1" s="1"/>
  <c r="B54" i="5"/>
  <c r="E44" i="5"/>
  <c r="H23" i="1" s="1"/>
  <c r="B55" i="5"/>
  <c r="B42" i="5"/>
  <c r="B40" i="5"/>
  <c r="F20" i="1" s="1"/>
  <c r="B46" i="5" l="1"/>
  <c r="G20" i="1"/>
  <c r="B50" i="5"/>
  <c r="B43" i="5"/>
  <c r="B68" i="6"/>
  <c r="B15" i="1"/>
  <c r="B12" i="1" l="1"/>
  <c r="B51" i="5"/>
  <c r="B52" i="5" s="1"/>
  <c r="G24" i="1"/>
  <c r="B60" i="6"/>
  <c r="B59" i="6"/>
  <c r="B58" i="6"/>
  <c r="B44" i="5"/>
  <c r="H20" i="1" s="1"/>
  <c r="H24" i="1" l="1"/>
  <c r="B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Secondary market data: Yahoo Finance daily close, 10/1/26</t>
        </r>
      </text>
    </comment>
    <comment ref="B7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Primary + team estimate: Q4 FY26 diluted WASO 932.1m (8-K Ex. 99.1, 9/10/26); 926.3m basic shares outstanding 9/25/26 (10-K cover) + ~5m dilution. No net FY27 buybacks assumed (cash committed to ACV); buyback risk (930m / 920m) and the earlier 940m tested in Sensitivity.</t>
        </r>
      </text>
    </comment>
    <comment ref="B8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Primary-derived: FY26 10-K: tax $354.6m / pre-tax $1,835.0m = 19.3%</t>
        </r>
      </text>
    </comment>
    <comment ref="B9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Primary: FY26 10-K: $1,907.9m cash, equivalents &amp; restricted + $2,581.9m HTM</t>
        </r>
      </text>
    </comment>
    <comment ref="B10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Team estimate: $4.49bn − $1.90bn ACV + ~$0.49bn retained FCF (6.5 months at ~$0.91bn/yr ≈ 72% of FY26 FCF $1.27bn); no buybacks; each ±$0.2bn ≈ ±$0.21/sh</t>
        </r>
      </text>
    </comment>
    <comment ref="B1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Primary: FY26 10-K segment note: interest income $181.9m</t>
        </r>
      </text>
    </comment>
    <comment ref="B12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Team estimate: Q3/Q4-FY26 actual $38.8m / $39.6m; cash before the ACV payment</t>
        </r>
      </text>
    </comment>
    <comment ref="B16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Team estimate: Model assumes closing during Q2 FY27 (base: mid-Q2, ~Dec 15); company guidance is close by calendar year-end 2026 (10-K; Q4 call). Tender (10/7) and HSR (10/13) milestones are not a close date. Early Q2 = 100%, late Q2 / CY-end = 33% (Sensitivity).</t>
        </r>
      </text>
    </comment>
    <comment ref="B20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Primary (SEC-filed transcript): Q4 FY26 call (9/10/26; transcript filed as Schedule TO-C Ex. 99.2): domestic insurance assignments −7.5%; CFO: U.S. insurance volumes −7.5%</t>
        </r>
      </text>
    </comment>
    <comment ref="B21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Primary (SEC-filed transcript): Q4 FY26 call: 'with the exception of 1 single customer loss domestic insurance assignments would be up 2.3%'</t>
        </r>
      </text>
    </comment>
    <comment ref="B29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Primary: U.S. Treasury Daily Par Yield Curve, 10Y on 10/01/2026 = 5.24%</t>
        </r>
      </text>
    </comment>
    <comment ref="B30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Team estimate: Weekly regression of CPRT on SPY, Jul-2023 to Sep-2026 = 0.89 (team calculation); Yahoo 1.03 tested in Sensitivity</t>
        </r>
      </text>
    </comment>
    <comment ref="B31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Team estimate: Conventional U.S. ERP assumption; ±0.5pt ERP ≈ ±0.45pt cost of equity (Sensitivity cost-of-equity table)</t>
        </r>
      </text>
    </comment>
    <comment ref="B32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Team estimate: ≈ long-run nominal U.S. growth; well below CPRT's FY21-FY26 net-income CAGR (~9.7%)</t>
        </r>
      </text>
    </comment>
    <comment ref="B33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Team estimate: Stress case only (10Y back to 3.5%)</t>
        </r>
      </text>
    </comment>
    <comment ref="B39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Team estimate: 10-K: insurers supplied 79% of vehicles company-wide; U.S. mix set slightly lower given U.S. dealer/BluCar volume</t>
        </r>
      </text>
    </comment>
    <comment ref="B40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Team estimate: Q4-FY26 call: U.S. facility costs +7.7% (+14.2% per unit) while U.S. units −5.7% → majority fixed in the short run; 45% / 65% in Sensitivity</t>
        </r>
      </text>
    </comment>
    <comment ref="B41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Team estimate: Q4-FY26 U.S. non-insurance +0.2%, dealer units +5.8% (call)</t>
        </r>
      </text>
    </comment>
    <comment ref="B42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Team estimate: FY26 U.S. G&amp;A +3.7% (10-K segment note); ongoing investment</t>
        </r>
      </text>
    </comment>
    <comment ref="B43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Team estimate: FY26 international op. income +8.2%; Q4 international revenue +11.7% (10-K, call)</t>
        </r>
      </text>
    </comment>
    <comment ref="E55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Derived: the reported Q4 FY26 drag (9.8 pts) is in the Q4 base; Q1-Q3 FY26 preceded the loss.</t>
        </r>
      </text>
    </comment>
    <comment ref="B57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Primary: 10-Q XBRL (Q1-Q3 FY26) and Q4 FY26 8-K Ex. 99.1.</t>
        </r>
      </text>
    </comment>
  </commentList>
</comments>
</file>

<file path=xl/sharedStrings.xml><?xml version="1.0" encoding="utf-8"?>
<sst xmlns="http://schemas.openxmlformats.org/spreadsheetml/2006/main" count="992" uniqueCount="682">
  <si>
    <t>Margin Callers</t>
  </si>
  <si>
    <t>Horizon: Q1 FY27 through Q2 FY27; planned exit and valuation date mid-February 2027 (after Q2 FY27 results)</t>
  </si>
  <si>
    <t>Thesis</t>
  </si>
  <si>
    <t>Return profile</t>
  </si>
  <si>
    <t>Reference price (10/1/26)</t>
  </si>
  <si>
    <t>EPS: ours vs consensus</t>
  </si>
  <si>
    <t>Base-case value (W2)</t>
  </si>
  <si>
    <t>Period (ex-ACV)</t>
  </si>
  <si>
    <t>Ours</t>
  </si>
  <si>
    <t>Consensus</t>
  </si>
  <si>
    <t>Gap</t>
  </si>
  <si>
    <t>Probability-weighted value</t>
  </si>
  <si>
    <t>Q1 FY27 vs Zacks</t>
  </si>
  <si>
    <t>Expected short return</t>
  </si>
  <si>
    <t>FY27 vs S&amp;P Global</t>
  </si>
  <si>
    <t>Expected short return, EPS-only (no multiple change)</t>
  </si>
  <si>
    <t>FY27 vs Zacks</t>
  </si>
  <si>
    <t>W4 adverse-case short loss</t>
  </si>
  <si>
    <t>Rate-cut stress (10Y to 3.5%): short loss</t>
  </si>
  <si>
    <t>Scenarios (Valuation sheet)</t>
  </si>
  <si>
    <t>World</t>
  </si>
  <si>
    <t>Probability</t>
  </si>
  <si>
    <t>FY27 EPS ex-ACV</t>
  </si>
  <si>
    <t>FY27 GAAP EPS</t>
  </si>
  <si>
    <t>NTM EPS ex-int.</t>
  </si>
  <si>
    <t>Justified P/E (NTM)</t>
  </si>
  <si>
    <t>Value, mid-Feb 27</t>
  </si>
  <si>
    <t>Short return</t>
  </si>
  <si>
    <t>W1 Loss deepens</t>
  </si>
  <si>
    <t>W2 FY27 trough / FY28 normalizes</t>
  </si>
  <si>
    <t>W3 Cycle turns / ACV improves</t>
  </si>
  <si>
    <t>W4 Street right / share recapture</t>
  </si>
  <si>
    <t>Probability-weighted</t>
  </si>
  <si>
    <t>Value at mid-Feb 2027 on NTM (Q3 FY27-Q2 FY28) ex-interest EPS; P/E derived from growth, ROIC and cost of equity (year-specific payouts), not selected. Team scenario probabilities.</t>
  </si>
  <si>
    <t>Short returns are gross and exclude borrow fees, financing costs and transaction costs.</t>
  </si>
  <si>
    <t>Catalysts and falsification</t>
  </si>
  <si>
    <t>Mid-Nov 2026 (estimated)</t>
  </si>
  <si>
    <t>Q1 FY27: first full quarter reflecting the lost-customer volume impact (U.S. insurance units, OpEx/car, U.S. operating margin).</t>
  </si>
  <si>
    <t>Mid-Feb 2027 (estimated)</t>
  </si>
  <si>
    <t>Q2 FY27: second full quarter of lost volume plus first ACV GAAP contribution (model assumes closing during Q2 FY27; company guides close by CY-end 2026). Planned exit and valuation date.</t>
  </si>
  <si>
    <t>Falsification (Q1 FY27)</t>
  </si>
  <si>
    <t>Exit if U.S. insurance units are better than −6% y/y, consolidated operating margin ≥36%, or OpEx/car growth ≤ +3% (Catalysts sheet).</t>
  </si>
  <si>
    <t>Colour key: blue = input; black = formula; green = link to another sheet; red = negative.</t>
  </si>
  <si>
    <t>Chart data: FY27 quarterly EPS ($/sh), linked to Consensus and EPS_Build</t>
  </si>
  <si>
    <t>Quarter</t>
  </si>
  <si>
    <t>Zacks consensus</t>
  </si>
  <si>
    <t>Margin Callers ex-ACV</t>
  </si>
  <si>
    <t>Q1</t>
  </si>
  <si>
    <t>Q2</t>
  </si>
  <si>
    <t>Q3</t>
  </si>
  <si>
    <t>Q4</t>
  </si>
  <si>
    <t>Chart data: current-price reference line (linked to Inputs)</t>
  </si>
  <si>
    <t>Series label</t>
  </si>
  <si>
    <t>Price ($/sh)</t>
  </si>
  <si>
    <t>Height</t>
  </si>
  <si>
    <t>Inputs</t>
  </si>
  <si>
    <t>Blue = hard-coded input; black = formula; green = link. Every input carries a source type; links and SEC accession numbers are on the Sources sheet.</t>
  </si>
  <si>
    <t>Market, capital structure and tax</t>
  </si>
  <si>
    <t>Input</t>
  </si>
  <si>
    <t>Value</t>
  </si>
  <si>
    <t>Units</t>
  </si>
  <si>
    <t>Source type</t>
  </si>
  <si>
    <t>Source / basis</t>
  </si>
  <si>
    <t>Share price (10/1/26 close)</t>
  </si>
  <si>
    <t>$/sh</t>
  </si>
  <si>
    <t>Secondary market data</t>
  </si>
  <si>
    <t>Yahoo Finance daily close, 10/1/26</t>
  </si>
  <si>
    <t>Diluted shares, FY27 (no net buybacks assumed)</t>
  </si>
  <si>
    <t>Primary + team estimate</t>
  </si>
  <si>
    <t>Q4 FY26 diluted WASO 932.1m (8-K Ex. 99.1, 9/10/26); 926.3m basic shares outstanding 9/25/26 (10-K cover) + ~5m dilution. No net FY27 buybacks assumed (cash committed to ACV); buyback risk (930m / 920m) and the earlier 940m tested in Sensitivity.</t>
  </si>
  <si>
    <t>Effective tax rate</t>
  </si>
  <si>
    <t>%</t>
  </si>
  <si>
    <t>Primary-derived</t>
  </si>
  <si>
    <t>FY26 10-K: tax $354.6m / pre-tax $1,835.0m = 19.3%</t>
  </si>
  <si>
    <t>Cash + restricted cash + HTM securities, 7/31/26</t>
  </si>
  <si>
    <t>$bn</t>
  </si>
  <si>
    <t>Primary</t>
  </si>
  <si>
    <t>FY26 10-K: $1,907.9m cash, equivalents &amp; restricted + $2,581.9m HTM</t>
  </si>
  <si>
    <t>Cash + securities at the valuation date (mid-Feb 2027, post-ACV)</t>
  </si>
  <si>
    <t>Team estimate</t>
  </si>
  <si>
    <t>$4.49bn − $1.90bn ACV + ~$0.49bn retained FCF (6.5 months at ~$0.91bn/yr ≈ 72% of FY26 FCF $1.27bn); no buybacks; each ±$0.2bn ≈ ±$0.21/sh</t>
  </si>
  <si>
    <t>FY26 interest income</t>
  </si>
  <si>
    <t>$m</t>
  </si>
  <si>
    <t>FY26 10-K segment note: interest income $181.9m</t>
  </si>
  <si>
    <t>Interest income per quarter before ACV close</t>
  </si>
  <si>
    <t>Q3/Q4-FY26 actual $38.8m / $39.6m; cash before the ACV payment</t>
  </si>
  <si>
    <t>ACV transaction timing</t>
  </si>
  <si>
    <t>Share of Q2 FY27 (Nov-Jan) with ACV consolidated</t>
  </si>
  <si>
    <t>Model assumes closing during Q2 FY27 (base: mid-Q2, ~Dec 15); company guidance is close by calendar year-end 2026 (10-K; Q4 call). Tender (10/7) and HSR (10/13) milestones are not a close date. Early Q2 = 100%, late Q2 / CY-end = 33% (Sensitivity).</t>
  </si>
  <si>
    <t>Lost-customer run-rate reconciliation (Q4 FY26)</t>
  </si>
  <si>
    <t>Q4 FY26 domestic insurance assignments y/y (reported)</t>
  </si>
  <si>
    <t>Primary (SEC-filed transcript)</t>
  </si>
  <si>
    <t>Q4 FY26 call (9/10/26; transcript filed as Schedule TO-C Ex. 99.2): domestic insurance assignments −7.5%; CFO: U.S. insurance volumes −7.5%</t>
  </si>
  <si>
    <t>Q4 FY26 domestic insurance assignments y/y, excluding one lost customer</t>
  </si>
  <si>
    <t>Q4 FY26 call: 'with the exception of 1 single customer loss domestic insurance assignments would be up 2.3%'</t>
  </si>
  <si>
    <t>Observed Q4 FY26 lost-customer drag (pts) = ex-customer − reported</t>
  </si>
  <si>
    <t>pts</t>
  </si>
  <si>
    <t>Derived</t>
  </si>
  <si>
    <t>+2.3% − (−7.5%) = 9.8 pts; applied as the drag already in the Q4 FY26 base (FY26 segment table below)</t>
  </si>
  <si>
    <t>W2 full-run-rate drag (pts of U.S. insurance units)</t>
  </si>
  <si>
    <t>Option A: keep the 13-pt W2 full-run-rate estimate (Scenarios)</t>
  </si>
  <si>
    <t>Implied share of the W2 run-rate already in Q4 FY26 = 9.8 / 13</t>
  </si>
  <si>
    <t>≈75%, replacing the v1 assumption of 60% (which did not reconcile: 9.8 / 13 ≠ 60%). Q1-Q3 FY27 carry the full drag; Q4 FY27 impact = (1 − run-rate) / (1 − 9.8%) − 1 in every world</t>
  </si>
  <si>
    <t>Full run-rate implied if only 60% was in Q4 FY26 = 9.8 / 0.60</t>
  </si>
  <si>
    <t>≈16 pts = W1. RB Global's 'probably over the last 90 days' (to 8/4/26) transition suggests ≤60% was in Copart's May-Jul quarter; W2 does not assume this. Tested in Sensitivity (10 / 13 / 16 pts).</t>
  </si>
  <si>
    <t>Cost of equity</t>
  </si>
  <si>
    <t>10-year U.S. Treasury yield (risk-free)</t>
  </si>
  <si>
    <t>U.S. Treasury Daily Par Yield Curve, 10Y on 10/01/2026 = 5.24%</t>
  </si>
  <si>
    <t>Equity beta</t>
  </si>
  <si>
    <t>x</t>
  </si>
  <si>
    <t>Weekly regression of CPRT on SPY, Jul-2023 to Sep-2026 = 0.89 (team calculation); Yahoo 1.03 tested in Sensitivity</t>
  </si>
  <si>
    <t>Equity risk premium</t>
  </si>
  <si>
    <t>Conventional U.S. ERP assumption; ±0.5pt ERP ≈ ±0.45pt cost of equity (Sensitivity cost-of-equity table)</t>
  </si>
  <si>
    <t>Terminal growth</t>
  </si>
  <si>
    <t>≈ long-run nominal U.S. growth; well below CPRT's FY21-FY26 net-income CAGR (~9.7%)</t>
  </si>
  <si>
    <t>Rate-cut stress: 10-year yield</t>
  </si>
  <si>
    <t>Stress case only (10Y back to 3.5%)</t>
  </si>
  <si>
    <t>Cost of equity = risk-free + beta × ERP</t>
  </si>
  <si>
    <t>CAPM: 5.24% + 0.90 × 5.0% = 9.74%</t>
  </si>
  <si>
    <t>Stress cost of equity = stress risk-free + beta × ERP</t>
  </si>
  <si>
    <t>3.50% + 0.90 × 5.0% = 8.00%</t>
  </si>
  <si>
    <t>Operating structure (KPI model)</t>
  </si>
  <si>
    <t>U.S. insurance share of U.S. units</t>
  </si>
  <si>
    <t>10-K: insurers supplied 79% of vehicles company-wide; U.S. mix set slightly lower given U.S. dealer/BluCar volume</t>
  </si>
  <si>
    <t>Fixed share of U.S. facility costs (does not flex with units near term)</t>
  </si>
  <si>
    <t>Q4-FY26 call: U.S. facility costs +7.7% (+14.2% per unit) while U.S. units −5.7% → majority fixed in the short run; 45% / 65% in Sensitivity</t>
  </si>
  <si>
    <t>U.S. non-insurance unit growth</t>
  </si>
  <si>
    <t>Q4-FY26 U.S. non-insurance +0.2%, dealer units +5.8% (call)</t>
  </si>
  <si>
    <t>U.S. vehicle gross profit and G&amp;A growth</t>
  </si>
  <si>
    <t>FY26 U.S. G&amp;A +3.7% (10-K segment note); ongoing investment</t>
  </si>
  <si>
    <t>International operating income and revenue growth</t>
  </si>
  <si>
    <t>FY26 international op. income +8.2%; Q4 international revenue +11.7% (10-K, call)</t>
  </si>
  <si>
    <t>FY26 quarterly segment actuals ($m) — Primary: 10-Qs Q1-Q3 FY26; Q4 = FY26 10-K less nine months</t>
  </si>
  <si>
    <t>Line ($m unless stated)</t>
  </si>
  <si>
    <t>Q1 Aug-Oct</t>
  </si>
  <si>
    <t>Q2 Nov-Jan</t>
  </si>
  <si>
    <t>Q3 Feb-Apr</t>
  </si>
  <si>
    <t>Q4 May-Jul</t>
  </si>
  <si>
    <t>U.S. service revenue</t>
  </si>
  <si>
    <t>U.S. vehicle sales</t>
  </si>
  <si>
    <t>U.S. facility operations</t>
  </si>
  <si>
    <t>U.S. cost of vehicle sales</t>
  </si>
  <si>
    <t>U.S. G&amp;A</t>
  </si>
  <si>
    <t>International operating income</t>
  </si>
  <si>
    <t>International revenue (service + vehicle sales)</t>
  </si>
  <si>
    <t>Interest income</t>
  </si>
  <si>
    <t>Lost-customer drag already in the FY26 quarter (pts)</t>
  </si>
  <si>
    <t>Reported FY26 diluted EPS by quarter ($/sh)</t>
  </si>
  <si>
    <t>FY26 diluted weighted-average shares by quarter (m)</t>
  </si>
  <si>
    <t>Scenarios</t>
  </si>
  <si>
    <t>Four economic worlds: what the market believes → KPIs → earnings → value. Blue = team estimate.</t>
  </si>
  <si>
    <t>Scenario drivers (all team estimates; basis in the rows below and on Sources)</t>
  </si>
  <si>
    <t>Driver</t>
  </si>
  <si>
    <t>Underlying U.S. insurance unit growth, ex lost customer</t>
  </si>
  <si>
    <t>Lost-customer full-run-rate drag (pts of U.S. insurance units)</t>
  </si>
  <si>
    <t>Revenue per unit growth</t>
  </si>
  <si>
    <t>Fixed facility cost growth</t>
  </si>
  <si>
    <t>ACV acquired-intangible amortization per quarter ($m)</t>
  </si>
  <si>
    <t>ACV operating income per quarter ($m)</t>
  </si>
  <si>
    <t>Interest income per quarter after ACV close ($m)</t>
  </si>
  <si>
    <t>FY28 ACV EPS contribution incl. amortization and forgone interest ($/sh)</t>
  </si>
  <si>
    <t>Team scenario probability</t>
  </si>
  <si>
    <t>FY28 EPS growth (core operating, ex-ACV)</t>
  </si>
  <si>
    <t>EPS growth, 5 years after year 2</t>
  </si>
  <si>
    <t>Incremental ROIC</t>
  </si>
  <si>
    <t>Probability check (must equal 100%)</t>
  </si>
  <si>
    <t>Rationale and evidence (short; sources on Sources sheet)</t>
  </si>
  <si>
    <t>Item</t>
  </si>
  <si>
    <t>What each world assumes (evidence)</t>
  </si>
  <si>
    <t>Loss broadens beyond one customer; ASP softens (Manheim −0.4% y/y mid-Sep, Cox); OpEx/car stays high (+12.7% in Q4, call). 16-pt run-rate ≈ only 60% in the Q4 FY26 base.</t>
  </si>
  <si>
    <t>The disclosed loss runs at its full 13-pt rate Q1-Q3 FY27 and partly laps in Q4 (~75% already in the Q4 FY26 base). Fixed costs +7%. ACV per model.</t>
  </si>
  <si>
    <t>Ex-customer insurance units +3% (Q4 ex-customer +2.3%, call); record second-quarter 23.3% total-loss frequency (call).</t>
  </si>
  <si>
    <t>Share recapture offsets most of the lost volume; published FY27 consensus roughly delivered. Team scenario based on public data only.</t>
  </si>
  <si>
    <t>Probability rationale (team scenario probabilities; judgmental, not objective)</t>
  </si>
  <si>
    <t>20%: plausible but not base. Requires losses beyond the one disclosed customer; management described customer relationships as strong.</t>
  </si>
  <si>
    <t>45%: most likely. The only disclosed loss runs at full rate until it laps in Q4 FY27; RB Global indicated substantial incremental partner volume had been transitioning over the prior ~90 days; costs are largely fixed near term (Q4 facility costs +7.7% on units −5.7%).</t>
  </si>
  <si>
    <t>20%: record total-loss frequency, rising severity and pricing (U.S. insurance ASP +3.7%) offset the volume hole faster than we model.</t>
  </si>
  <si>
    <t>15%: the Street is right. Published FY27 consensus ($1.62-$1.65) implies the loss is largely absorbed; CPRT has historically rebounded after large negative reactions (Checks).</t>
  </si>
  <si>
    <t>FY28 ACV contribution support</t>
  </si>
  <si>
    <t>$0.00: accretion guidance not met in FY28.</t>
  </si>
  <si>
    <t>+$0.02: modestly accretive, consistent with guidance (neutral in the first full year; accretive FY28 and beyond).</t>
  </si>
  <si>
    <t>+$0.04: synergies arrive faster than guided.</t>
  </si>
  <si>
    <t>+$0.02: guidance delivered.</t>
  </si>
  <si>
    <t>5-year EPS growth (g) support</t>
  </si>
  <si>
    <t>3%: pricing-only growth; no unit recovery.</t>
  </si>
  <si>
    <t>6%: normalized low-single-digit unit growth plus pricing; below the FY21-FY26 net-income CAGR (~9.7%).</t>
  </si>
  <si>
    <t>9%: close to the FY21-FY26 net-income CAGR (~9.7%).</t>
  </si>
  <si>
    <t>10%: historical growth resumes.</t>
  </si>
  <si>
    <t>Incremental ROIC support</t>
  </si>
  <si>
    <t>15%: about half of recent core ROIC; lower utilization persists.</t>
  </si>
  <si>
    <t>20%: below recent core ROIC (~29-31%, FY25-FY26 NOPAT / equity ex cash &amp; HTM), reflecting lower utilization and ACV mix.</t>
  </si>
  <si>
    <t>25%: still below recent core ROIC.</t>
  </si>
  <si>
    <t>Chain: lost-customer impact → U.S. insurance units → U.S. service revenue → operating income → EPS. Model assumes closing during Q2 FY27; company guidance is close by calendar year-end 2026. Q2 ACV P&amp;L and interest are pro-rated by the consolidated share of Q2 (Inputs). Ex-ACV and GAAP-with-ACV kept separate.</t>
  </si>
  <si>
    <t>Line</t>
  </si>
  <si>
    <t>FY27</t>
  </si>
  <si>
    <t>Lost-customer impact vs FY26 quarter (pts)</t>
  </si>
  <si>
    <t>U.S. insurance units y/y</t>
  </si>
  <si>
    <t>U.S. units y/y</t>
  </si>
  <si>
    <t>U.S. service revenue ($m)</t>
  </si>
  <si>
    <t>U.S. vehicle sales ($m)</t>
  </si>
  <si>
    <t>U.S. vehicle gross profit ($m)</t>
  </si>
  <si>
    <t>U.S. facility operations ($m)</t>
  </si>
  <si>
    <t>U.S. G&amp;A ($m)</t>
  </si>
  <si>
    <t>U.S. operating income ($m)</t>
  </si>
  <si>
    <t>U.S. operating margin</t>
  </si>
  <si>
    <t>International operating income ($m)</t>
  </si>
  <si>
    <t>International revenue ($m)</t>
  </si>
  <si>
    <t>Consolidated operating margin, ex-ACV</t>
  </si>
  <si>
    <t>Core operating EPS, ex-interest, ex-ACV ($/sh)</t>
  </si>
  <si>
    <t>Interest income, ex-ACV case ($m)</t>
  </si>
  <si>
    <t>EPS ex-ACV (operating thesis)</t>
  </si>
  <si>
    <t>ACV pre-tax: operating income − amortization ($m)</t>
  </si>
  <si>
    <t>Interest income after ACV cash outflow ($m)</t>
  </si>
  <si>
    <t>GAAP EPS incl. ACV</t>
  </si>
  <si>
    <t>ACV EPS impact incl. forgone interest ($/sh)</t>
  </si>
  <si>
    <t>EPS ex-interest incl. ACV (valuation base, $/sh)</t>
  </si>
  <si>
    <t>W2 FY27 EPS bridge from FY26 reported EPS (cumulative replay of the W2 block; drivers switched on in order)</t>
  </si>
  <si>
    <t>Step</t>
  </si>
  <si>
    <t>Underlying u</t>
  </si>
  <si>
    <t>Run-rate drag</t>
  </si>
  <si>
    <t>Q4 base drag on</t>
  </si>
  <si>
    <t>RPU growth</t>
  </si>
  <si>
    <t>Fixed cost growth</t>
  </si>
  <si>
    <t>Non-ins. growth</t>
  </si>
  <si>
    <t>Veh. GP / G&amp;A growth</t>
  </si>
  <si>
    <t>Intl growth</t>
  </si>
  <si>
    <t>Step change</t>
  </si>
  <si>
    <t>FY26 reported diluted EPS</t>
  </si>
  <si>
    <t>FY26 replay at FY27 share count and pre-ACV interest (zero growth)</t>
  </si>
  <si>
    <t>+ lost-customer drag (13-pt run-rate, net of Q4 FY26 base)</t>
  </si>
  <si>
    <t>+ underlying insurance and non-insurance unit growth</t>
  </si>
  <si>
    <t>+ revenue per unit</t>
  </si>
  <si>
    <t>+ fixed facility cost growth</t>
  </si>
  <si>
    <t>+ international, vehicle gross profit and G&amp;A growth (= W2)</t>
  </si>
  <si>
    <t>Chart data: W2 EPS waterfall (linked; memo bridge = column B at $0.01)</t>
  </si>
  <si>
    <t>Bridge line</t>
  </si>
  <si>
    <t>Level after</t>
  </si>
  <si>
    <t>Base (hidden)</t>
  </si>
  <si>
    <t>Total</t>
  </si>
  <si>
    <t>Increase</t>
  </si>
  <si>
    <t>Decrease</t>
  </si>
  <si>
    <t>FY26 EPS</t>
  </si>
  <si>
    <t>Shares / interest / other</t>
  </si>
  <si>
    <t>Lost customer</t>
  </si>
  <si>
    <t>Underlying growth</t>
  </si>
  <si>
    <t>Revenue per unit</t>
  </si>
  <si>
    <t>Fixed-cost deleverage</t>
  </si>
  <si>
    <t>FY27 ex-ACV</t>
  </si>
  <si>
    <t>ACV impact</t>
  </si>
  <si>
    <t>FY27 GAAP</t>
  </si>
  <si>
    <t>Valuation at the planned exit: mid-February 2027 (after Q2 FY27 results)</t>
  </si>
  <si>
    <t>Value = PV of distributions from year-1 (NTM) and year-2 earnings, years 3-5 at g and a Gordon terminal, discounted at the cost of equity; ex-interest earnings, with net cash at the valuation date added. Justified P/E = ex-cash value / NTM EPS (derived from growth, ROIC and cost of equity, not selected). Explicit-period payout ratios are linked to each year's modeled EPS growth and incremental ROIC; normalized payout is used only after the recovery period.</t>
  </si>
  <si>
    <t>Valuation date: mid-February 2027, following Q2 FY27 results</t>
  </si>
  <si>
    <t>Forward earnings basis: NTM = Q3 FY27 + Q4 FY27 (modeled, incl. ACV) + Q1 FY28 + Q2 FY28 (each = the matching FY27 quarter's core operating EPS × (1 + FY28 growth) + ¼ of the FY28 ACV contribution ex-interest); ex-interest. Year 2 = Q3 FY28 - Q2 FY29.</t>
  </si>
  <si>
    <t>EPS by world: FY27 and FY28 (FY28 = standalone + explicit ACV)</t>
  </si>
  <si>
    <t>FY27 EPS ex-ACV ($/sh)</t>
  </si>
  <si>
    <t>FY27 modeled ACV impact ($/sh)</t>
  </si>
  <si>
    <t>FY27 GAAP EPS incl. ACV ($/sh)</t>
  </si>
  <si>
    <t>FY28 standalone CPRT EPS before ACV ($/sh)</t>
  </si>
  <si>
    <t>FY28 ACV contribution ($/sh, team estimate)</t>
  </si>
  <si>
    <t>FY28 EPS incl. ACV ($/sh)</t>
  </si>
  <si>
    <t>Forward earnings bridge at the valuation date (ex-interest, $/sh)</t>
  </si>
  <si>
    <t>Q3 FY27 (Feb-Apr 27) ex-interest EPS incl. ACV</t>
  </si>
  <si>
    <t>Q4 FY27 (May-Jul 27) ex-interest EPS incl. ACV</t>
  </si>
  <si>
    <t>FY28 ACV contribution ex-interest, per quarter</t>
  </si>
  <si>
    <t>Q1 FY28 (Aug-Oct 27) ex-interest EPS</t>
  </si>
  <si>
    <t>Q2 FY28 (Nov 27-Jan 28) ex-interest EPS</t>
  </si>
  <si>
    <t>NTM ex-interest EPS at mid-Feb 2027 (year 1)</t>
  </si>
  <si>
    <t>Year 2 ex-interest EPS (Q3 FY28 - Q2 FY29)</t>
  </si>
  <si>
    <t>Year-2 growth (FY28 recovery completes)</t>
  </si>
  <si>
    <t>Valuation</t>
  </si>
  <si>
    <t>EPS growth, years 3-5 and terminal fade start (g)</t>
  </si>
  <si>
    <t>Cost of equity (Inputs)</t>
  </si>
  <si>
    <t>Terminal growth (Inputs)</t>
  </si>
  <si>
    <t>Year-1 payout = 1 − g1 / ROIC (g1 = year-2 growth above)</t>
  </si>
  <si>
    <t>Normalized payout, years 2-5 = 1 − g / ROIC</t>
  </si>
  <si>
    <t>PV of years 1-5 distributions ($/sh)</t>
  </si>
  <si>
    <t>PV of terminal value ($/sh)</t>
  </si>
  <si>
    <t>Ex-cash equity value ($/sh)</t>
  </si>
  <si>
    <t>Justified ex-cash P/E on NTM EPS</t>
  </si>
  <si>
    <t>Net cash per share at the valuation date ($/sh)</t>
  </si>
  <si>
    <t>Value per share, mid-Feb 2027 ($/sh)</t>
  </si>
  <si>
    <t>Stock return vs reference price</t>
  </si>
  <si>
    <t>NTM after-tax interest per share ($/sh)</t>
  </si>
  <si>
    <t>Implied total P/E on NTM EPS incl. interest</t>
  </si>
  <si>
    <t>Probability-weighted result and downside</t>
  </si>
  <si>
    <t>Probability-weighted value ($/sh)</t>
  </si>
  <si>
    <t>Probability-weighted (expected) stock return</t>
  </si>
  <si>
    <t>Base-case (W2) value ($/sh)</t>
  </si>
  <si>
    <t>Base-case (W2) stock return</t>
  </si>
  <si>
    <t>W4 adverse-case short loss (W4 stock return)</t>
  </si>
  <si>
    <t>Rate-cut stress: W3 economics with the 10-year yield at 3.5% (more severe than W4)</t>
  </si>
  <si>
    <t>W3 NTM ex-interest EPS ($/sh)</t>
  </si>
  <si>
    <t>W3 year-2 ex-interest EPS ($/sh)</t>
  </si>
  <si>
    <t>EPS growth (W3)</t>
  </si>
  <si>
    <t>Incremental ROIC (W3)</t>
  </si>
  <si>
    <t>Stress cost of equity (Inputs)</t>
  </si>
  <si>
    <t>Stress ex-cash value ($/sh)</t>
  </si>
  <si>
    <t>Stress value per share ($/sh)</t>
  </si>
  <si>
    <t>Rate-cut stress short loss (stock return)</t>
  </si>
  <si>
    <t>EPS-only check: today's market multiple held constant; only EPS changes</t>
  </si>
  <si>
    <t>Market ex-cash, ex-interest NTM P/E on published FY27 consensus $1.62</t>
  </si>
  <si>
    <t>Stock return, EPS-only (market P/E × our NTM + cash)</t>
  </si>
  <si>
    <t>Horizon cash is held constant across scenarios to isolate operating differences; ±$200m of cash changes value by approximately $0.21/share.</t>
  </si>
  <si>
    <t>ACV acquired net cash is not explicitly modeled in horizon cash; June-30 ACV net cash was approximately +$37m before subsequent changes, an impact of &lt; $0.05/share.</t>
  </si>
  <si>
    <t>Sensitivity (live formulas)</t>
  </si>
  <si>
    <t>Operating drivers first (lost-customer drag × fixed cost share), then valuation, ACV and share-count risks.</t>
  </si>
  <si>
    <t>Key operating sensitivity: lost-customer drag × fixed facility cost share (W2; all other drivers unchanged)</t>
  </si>
  <si>
    <t>Run-rate drag \ fixed share</t>
  </si>
  <si>
    <t>45%</t>
  </si>
  <si>
    <t>55%</t>
  </si>
  <si>
    <t>65%</t>
  </si>
  <si>
    <t>Q1 FY27 EPS ex-ACV ($/sh)</t>
  </si>
  <si>
    <t>10 pts drag</t>
  </si>
  <si>
    <t>13 pts drag (W2 base)</t>
  </si>
  <si>
    <t>16 pts drag</t>
  </si>
  <si>
    <t>Lost-customer drag (W2, fixed share 55%)</t>
  </si>
  <si>
    <t>Full-run-rate drag</t>
  </si>
  <si>
    <t>Q1 FY27 EPS</t>
  </si>
  <si>
    <t>Base-case value</t>
  </si>
  <si>
    <t>10 pts (≈ W3 run-rate)</t>
  </si>
  <si>
    <t>13 pts (W2 base)</t>
  </si>
  <si>
    <t>16 pts (≈ 60%-in-Q4 implied; W1)</t>
  </si>
  <si>
    <t>Diluted shares / buyback risk (W2; buybacks at $27.29 funded from cash, interest forgone)</t>
  </si>
  <si>
    <t>Diluted shares (m)</t>
  </si>
  <si>
    <t>940m (v1 assumption)</t>
  </si>
  <si>
    <t>932m (model: Q4 FY26 diluted WASO)</t>
  </si>
  <si>
    <t>930m (modest buybacks)</t>
  </si>
  <si>
    <t>920m (accelerated buybacks)</t>
  </si>
  <si>
    <t>Cost-of-equity shift (all four worlds revalued)</t>
  </si>
  <si>
    <t>Cost-of-equity shift</t>
  </si>
  <si>
    <t>Shift</t>
  </si>
  <si>
    <t>Cost of equity -1.0pt</t>
  </si>
  <si>
    <t>Cost of equity -0.5pt</t>
  </si>
  <si>
    <t>Cost of equity (base)</t>
  </si>
  <si>
    <t>Cost of equity +0.5pt</t>
  </si>
  <si>
    <t>Cost of equity +1.0pt</t>
  </si>
  <si>
    <t>FY28 ACV EPS contribution (applied to all worlds)</t>
  </si>
  <si>
    <t>FY28 ACV contribution ($/sh)</t>
  </si>
  <si>
    <t>−$0.04</t>
  </si>
  <si>
    <t>$0.00</t>
  </si>
  <si>
    <t>+$0.02</t>
  </si>
  <si>
    <t>+$0.04</t>
  </si>
  <si>
    <t>W2 FY28 EPS incl. ACV ($/sh)</t>
  </si>
  <si>
    <t>FY28 ACV changes NTM through Q1-Q2 FY28 (half) and year 2 in full. Base: W1 $0.00, W2 +$0.02, W3 +$0.04, W4 +$0.02.</t>
  </si>
  <si>
    <t>ACV closing date (W2 FY27 GAAP EPS; ex-ACV thesis unaffected)</t>
  </si>
  <si>
    <t>Closing timing</t>
  </si>
  <si>
    <t>Share of Q2 consolidated</t>
  </si>
  <si>
    <t>vs model base</t>
  </si>
  <si>
    <t>Value impact</t>
  </si>
  <si>
    <t>Early Q2 (~Nov 1, 2026)</t>
  </si>
  <si>
    <t>None</t>
  </si>
  <si>
    <t>Mid Q2 (~Dec 15, 2026; model base)</t>
  </si>
  <si>
    <t>Late Q2 / calendar year-end (~Dec 31, 2026)</t>
  </si>
  <si>
    <t>Model assumes closing during Q2 FY27; company guidance is close by calendar year-end 2026. Q3 onward is fully consolidated in all cases, so the mid-Feb valuation is unaffected.</t>
  </si>
  <si>
    <t>Probability shifts (scenario values unchanged)</t>
  </si>
  <si>
    <t>Probability set (W1 / W2 / W3 / W4)</t>
  </si>
  <si>
    <t>Note</t>
  </si>
  <si>
    <t>Base 20 / 45 / 20 / 15</t>
  </si>
  <si>
    <t>Governing</t>
  </si>
  <si>
    <t>Bearish tilt 30 / 45 / 15 / 10</t>
  </si>
  <si>
    <t>More weight to loss broadening</t>
  </si>
  <si>
    <t>Bullish tilt 15 / 40 / 25 / 20</t>
  </si>
  <si>
    <t>More weight to recovery</t>
  </si>
  <si>
    <t>Beta cross-check</t>
  </si>
  <si>
    <t>Exp. short return</t>
  </si>
  <si>
    <t>Beta 1.03 (Yahoo, secondary) instead of 0.90</t>
  </si>
  <si>
    <t>Higher beta raises the cost of equity (short return rises)</t>
  </si>
  <si>
    <t>Downside reference (from Valuation)</t>
  </si>
  <si>
    <t>Rate-cut stress (10Y to 3.5%) short loss</t>
  </si>
  <si>
    <t>W2 sensitivity engine: replay of EPS_Build W2 with the drivers in blue changed (feeds the tables above)</t>
  </si>
  <si>
    <t>Case</t>
  </si>
  <si>
    <t>Fixed share</t>
  </si>
  <si>
    <t>Shares (m)</t>
  </si>
  <si>
    <t>Core Q1</t>
  </si>
  <si>
    <t>Core Q2</t>
  </si>
  <si>
    <t>Core Q3</t>
  </si>
  <si>
    <t>Core Q4</t>
  </si>
  <si>
    <t>Q1 EPS ex-ACV</t>
  </si>
  <si>
    <t>NTM ex-int</t>
  </si>
  <si>
    <t>Year 2 ex-int</t>
  </si>
  <si>
    <t>Value ($/sh)</t>
  </si>
  <si>
    <t>Drag 10%, fixed 45%</t>
  </si>
  <si>
    <t>Drag 10%, fixed 55%</t>
  </si>
  <si>
    <t>Drag 10%, fixed 65%</t>
  </si>
  <si>
    <t>Drag 13%, fixed 45%</t>
  </si>
  <si>
    <t>Drag 13%, fixed 55%</t>
  </si>
  <si>
    <t>Drag 13%, fixed 65%</t>
  </si>
  <si>
    <t>Drag 16%, fixed 45%</t>
  </si>
  <si>
    <t>Drag 16%, fixed 55%</t>
  </si>
  <si>
    <t>Drag 16%, fixed 65%</t>
  </si>
  <si>
    <t>Shares 940m</t>
  </si>
  <si>
    <t>Shares 932m</t>
  </si>
  <si>
    <t>Shares 930m</t>
  </si>
  <si>
    <t>Shares 920m</t>
  </si>
  <si>
    <t>Consensus (secondary sources) and our estimates</t>
  </si>
  <si>
    <t>Published consensus — kept separate by provider (re-verified 10/2/26)</t>
  </si>
  <si>
    <t>Provider / period</t>
  </si>
  <si>
    <t>As of</t>
  </si>
  <si>
    <t>EPS ($/sh)</t>
  </si>
  <si>
    <t>n</t>
  </si>
  <si>
    <t>Low</t>
  </si>
  <si>
    <t>High</t>
  </si>
  <si>
    <t>Basis / note</t>
  </si>
  <si>
    <t>Zacks: Q1 FY27 (Oct-26)</t>
  </si>
  <si>
    <t>10/1/26</t>
  </si>
  <si>
    <t>Via Nasdaq. Zacks estimates as of 10/1/26; re-verified 10/2/26.</t>
  </si>
  <si>
    <t>Zacks: Q2 FY27 (Jan-27)</t>
  </si>
  <si>
    <t>Zacks: Q3 FY27 (Apr-27)</t>
  </si>
  <si>
    <t>Zacks: Q4 FY27 (Jul-27)</t>
  </si>
  <si>
    <t>S&amp;P Global MI via StockAnalysis: published FY27 EPS consensus (Jul-27)</t>
  </si>
  <si>
    <t>updated 9/25/26</t>
  </si>
  <si>
    <t>Published FY27 EPS consensus. Public aggregate does not disclose exact ACV accounting treatment; we compare our ex-ACV estimate to isolate the core operating thesis.</t>
  </si>
  <si>
    <t>Zacks: FY27 (Jul-27)</t>
  </si>
  <si>
    <t>Published FY27 EPS consensus; ACV treatment not disclosed</t>
  </si>
  <si>
    <t>Zacks: FY28 (Jul-28)</t>
  </si>
  <si>
    <t>Yahoo Finance: FY27 (staleness cross-check only; not used)</t>
  </si>
  <si>
    <t>Not used to govern the pitch: includes pre-print estimates (30 days earlier $1.85); its quarterly row was a stale Q4-FY26 estimate.</t>
  </si>
  <si>
    <t>Our estimates vs consensus (base world W2)</t>
  </si>
  <si>
    <t>Comparison</t>
  </si>
  <si>
    <t>Ours ($/sh)</t>
  </si>
  <si>
    <t>Q1 FY27 EPS vs Zacks</t>
  </si>
  <si>
    <t>Q1 (Aug-Oct) precedes any ACV consolidation</t>
  </si>
  <si>
    <t>Q2 FY27 EPS ex-ACV vs Zacks</t>
  </si>
  <si>
    <t>FY27 EPS ex-ACV vs published FY27 consensus (S&amp;P Global)</t>
  </si>
  <si>
    <t>Core operating thesis comparison</t>
  </si>
  <si>
    <t>FY27 EPS ex-ACV vs Zacks FY27</t>
  </si>
  <si>
    <t>FY27 GAAP EPS incl. modeled ACV vs S&amp;P Global</t>
  </si>
  <si>
    <t>Team ACV estimate (amortization, forgone interest, close mid-Q2); company guides EPS-neutral in the first full year</t>
  </si>
  <si>
    <t>FY28 EPS incl. ACV vs Zacks FY28</t>
  </si>
  <si>
    <t>FY28 = standalone + explicit ACV contribution</t>
  </si>
  <si>
    <t>Catalyst path and falsification</t>
  </si>
  <si>
    <t>Catalysts (3-12 month horizon; planned exit and valuation date mid-Feb 2027, after Q2 FY27)</t>
  </si>
  <si>
    <t>Date</t>
  </si>
  <si>
    <t>Event</t>
  </si>
  <si>
    <t>What investors learn</t>
  </si>
  <si>
    <t>Supports</t>
  </si>
  <si>
    <t>Source</t>
  </si>
  <si>
    <t>Oct 7, 2026</t>
  </si>
  <si>
    <t>ACV tender offer expiry (extended)</t>
  </si>
  <si>
    <t>Whether a majority tenders (47.8% at 9/30). A tender result is not the close; company guides close by CY-end 2026.</t>
  </si>
  <si>
    <t>Neutral / secondary</t>
  </si>
  <si>
    <t>Schedule TO-T/A filed 10/1/26 (SEC)</t>
  </si>
  <si>
    <t>Oct 13, 2026</t>
  </si>
  <si>
    <t>HSR waiting period expiry (refiled 9/28)</t>
  </si>
  <si>
    <t>Whether antitrust review extends (Second Request). Not a close date.</t>
  </si>
  <si>
    <t>Schedule TO-T/A filed 9/29/26 (SEC)</t>
  </si>
  <si>
    <t>Early Nov 2026 (estimated)</t>
  </si>
  <si>
    <t>RB Global Q3-26</t>
  </si>
  <si>
    <t>First full-quarter read-through on IAA automotive units after its partner expansion</t>
  </si>
  <si>
    <t>Short if IAA units strong</t>
  </si>
  <si>
    <t>RB Global Q2-26 call (secondary transcript)</t>
  </si>
  <si>
    <t>CPRT Q1 FY27 results</t>
  </si>
  <si>
    <t>First full quarter of the lost-customer volume at its full run-rate; key read-throughs are U.S. insurance units, OpEx/car and U.S. operating margin.</t>
  </si>
  <si>
    <t>Primary discovery event</t>
  </si>
  <si>
    <t>Team estimate of timing</t>
  </si>
  <si>
    <t>CPRT Q2 FY27 results</t>
  </si>
  <si>
    <t>Second full quarter of lost volume plus the first ACV GAAP contribution (model assumes closing during Q2 FY27; company guidance is close by calendar year-end 2026). Planned exit and valuation date.</t>
  </si>
  <si>
    <t>Short; planned exit</t>
  </si>
  <si>
    <t>Falsification thresholds (Q1 FY27) - exit and reassess if any is met</t>
  </si>
  <si>
    <t>KPI</t>
  </si>
  <si>
    <t>Threshold</t>
  </si>
  <si>
    <t>Our base (W2, Q1)</t>
  </si>
  <si>
    <t>Basis</t>
  </si>
  <si>
    <t>Better than −6% means the lost volume is being offset</t>
  </si>
  <si>
    <t>≥36% means cost absorption is not happening (yr-ago Q1 37%)</t>
  </si>
  <si>
    <t>OpEx per car growth y/y</t>
  </si>
  <si>
    <t>≤ +3% means fast cost cuts (Q4-FY26 +12.7%, CEO; U.S. facility cost per unit +14.2%, CFO; Q4 call)</t>
  </si>
  <si>
    <t>Source types: Primary | Secondary consensus | Secondary transcript | Secondary market data | Derived | Team estimate. SEC links: https://www.sec.gov/Archives/edgar/data/&lt;CIK&gt;/&lt;accession without dashes&gt;/ (CPRT CIK 900075; ACV CIK 1637873).</t>
  </si>
  <si>
    <t>No.</t>
  </si>
  <si>
    <t>Datapoint</t>
  </si>
  <si>
    <t>Link / SEC accession</t>
  </si>
  <si>
    <t>Notes</t>
  </si>
  <si>
    <t>FY26 revenue, segment P&amp;L, Q4 derivation</t>
  </si>
  <si>
    <t>Revenue $4.67bn; U.S. service $3,388m</t>
  </si>
  <si>
    <t>Copart FY26 Form 10-K, segment note</t>
  </si>
  <si>
    <t>9/29/26</t>
  </si>
  <si>
    <t>10-K, accession 0001193125-26-405731: https://www.sec.gov/Archives/edgar/data/900075/000119312526405731/cprt-20260731.htm</t>
  </si>
  <si>
    <t>Q4 = FY less Q1-Q3 10-Qs</t>
  </si>
  <si>
    <t>FY26 quarterly segment data (Q1-Q3)</t>
  </si>
  <si>
    <t>See Inputs</t>
  </si>
  <si>
    <t>Copart Form 10-Q filings, Q1-Q3 FY26</t>
  </si>
  <si>
    <t>11/24/25; 3/3/26; 5/29/26</t>
  </si>
  <si>
    <t>10-Q accessions 0001193125-25-291660; 0001193125-26-088593; 0001193125-26-245578</t>
  </si>
  <si>
    <t>Diluted weighted-average shares</t>
  </si>
  <si>
    <t>932.1m (Q4 FY26); 956.9m (FY26); Q1-Q3 977.1m / 975.1m / 942.8m</t>
  </si>
  <si>
    <t>Copart Q4 FY26 earnings release (8-K Ex. 99.1); 10-Q XBRL</t>
  </si>
  <si>
    <t>9/10/26</t>
  </si>
  <si>
    <t>8-K, accession 0001193125-26-387902: https://www.sec.gov/Archives/edgar/data/900075/000119312526387902/cprt-ex99_1.htm</t>
  </si>
  <si>
    <t>Model uses 932m (v1 used 940m)</t>
  </si>
  <si>
    <t>Shares outstanding; FY26 buybacks</t>
  </si>
  <si>
    <t>926.3m (9/25/26); 43.4m shares / $1.63bn repurchased in FY26; 282m authorized remaining</t>
  </si>
  <si>
    <t>Copart FY26 Form 10-K (cover; Item 5; MD&amp;A)</t>
  </si>
  <si>
    <t>10-K, accession 0001193125-26-405731</t>
  </si>
  <si>
    <t>Buyback risk in Sensitivity</t>
  </si>
  <si>
    <t>19.3%</t>
  </si>
  <si>
    <t>Copart FY26 Form 10-K</t>
  </si>
  <si>
    <t>Model uses 19.5%</t>
  </si>
  <si>
    <t>Cash, equivalents, restricted cash + HTM securities</t>
  </si>
  <si>
    <t>$1,907.9m + $2,581.9m = $4.49bn</t>
  </si>
  <si>
    <t>Copart FY26 Form 10-K, balance sheet</t>
  </si>
  <si>
    <t>Operating cash flow; capex</t>
  </si>
  <si>
    <t>$1,604.5m; $337.4m</t>
  </si>
  <si>
    <t>Copart FY26 Form 10-K, cash flow statement</t>
  </si>
  <si>
    <t>FY26 FCF $1.27bn</t>
  </si>
  <si>
    <t>Interest income FY26</t>
  </si>
  <si>
    <t>$181.9m</t>
  </si>
  <si>
    <t>Q4 FY26 revenue / diluted EPS; equity</t>
  </si>
  <si>
    <t>$1.152bn / $0.35; equity $9,097m</t>
  </si>
  <si>
    <t>Copart Form 8-K Ex. 99.1 (earnings release)</t>
  </si>
  <si>
    <t>8-K, accession 0001193125-26-387902</t>
  </si>
  <si>
    <t>Q4 domestic insurance assignments; ex-one-customer</t>
  </si>
  <si>
    <t>−7.5%; +2.3%</t>
  </si>
  <si>
    <t>Copart Q4 FY26 earnings-call transcript (Schedule TO-C, Ex. 99.2)</t>
  </si>
  <si>
    <t>Primary — SEC-filed earnings-call transcript, Ex. 99.2</t>
  </si>
  <si>
    <t>9/10/26 call; filed 9/11/26</t>
  </si>
  <si>
    <t>SC TO-C, accession 0001193125-26-388383: https://www.sec.gov/Archives/edgar/data/900075/000119312526388383/d138398dex992.htm</t>
  </si>
  <si>
    <t>Basis of the 9.8-pt drag (Inputs)</t>
  </si>
  <si>
    <t>OpEx per car; U.S. facility costs; total-loss frequency</t>
  </si>
  <si>
    <t>+12.7% (CEO); +7.7% (+14.2% per unit, CFO); 23.3%, highest second quarter on record (CY Q2-26)</t>
  </si>
  <si>
    <t>SC TO-C, accession 0001193125-26-388383</t>
  </si>
  <si>
    <t>ACV close timing and EPS effect (management)</t>
  </si>
  <si>
    <t>Close by end of calendar year 2026; breakeven in the first year, accretive FY28</t>
  </si>
  <si>
    <t>Copart FY26 Form 10-K (Note 19; MD&amp;A); Q4 FY26 call transcript</t>
  </si>
  <si>
    <t>9/29/26; 9/10/26</t>
  </si>
  <si>
    <t>10-K, accession 0001193125-26-405731; SC TO-C accession 0001193125-26-388383 (Ex. 99.2)</t>
  </si>
  <si>
    <t>Close date is a team assumption (mid-Q2)</t>
  </si>
  <si>
    <t>RB Global partner expansion</t>
  </si>
  <si>
    <t>Incremental volume from its largest automotive-insurance partner had been transitioning over roughly the prior 90 days as of Aug. 4, following expansion to all 50 states</t>
  </si>
  <si>
    <t>RB Global Q2-26 earnings call (transcript)</t>
  </si>
  <si>
    <t>Secondary transcript</t>
  </si>
  <si>
    <t>8/4/26</t>
  </si>
  <si>
    <t>The Motley Fool transcript; RB Global IR: investor.rbglobal.com</t>
  </si>
  <si>
    <t>Carrier identity not disclosed; not used in formulas</t>
  </si>
  <si>
    <t>ACV transaction</t>
  </si>
  <si>
    <t>$10.50/sh cash; ~$1.9bn equity value</t>
  </si>
  <si>
    <t>Copart Form 8-K (deal announcement, Ex. 99.1); Schedule TO-T</t>
  </si>
  <si>
    <t>9/10/26; 9/17/26</t>
  </si>
  <si>
    <t>8-K accession 0001193125-26-388064; SC TO-T accession 0001193125-26-393827</t>
  </si>
  <si>
    <t>ACV EPS guidance (company; inconsistent across materials)</t>
  </si>
  <si>
    <t>Formal transaction announcement: neutral to EPS in the first full year of ownership and accretive in FY2028 and beyond. Subsequent Q4 earnings-call language indicated first-full-year accretion. Model conservatively governs off the formal transaction announcement.</t>
  </si>
  <si>
    <t>Copart 8-K Ex. 99.1 / 99.2 (deal announcement); Q4 FY26 call transcript (SC TO-C Ex. 99.2)</t>
  </si>
  <si>
    <t>9/10/26; 9/11/26</t>
  </si>
  <si>
    <t>8-K accession 0001193125-26-388064; SC TO-C accession 0001193125-26-388383</t>
  </si>
  <si>
    <t>Modeled FY27 ACV impact and FY28 contribution are team estimates</t>
  </si>
  <si>
    <t>ACV acquired net cash</t>
  </si>
  <si>
    <t>$242.3m cash − $205.0m line of credit = +$37.3m (6/30/26)</t>
  </si>
  <si>
    <t>ACV Auctions Form 10-Q (Q2-26), XBRL</t>
  </si>
  <si>
    <t>8/10/26</t>
  </si>
  <si>
    <t>ACV 10-Q accession 0001637873-26-000034</t>
  </si>
  <si>
    <t>ACV tender status</t>
  </si>
  <si>
    <t>47.78% tendered; expiry extended to 10/7/26</t>
  </si>
  <si>
    <t>Schedule TO-T/A</t>
  </si>
  <si>
    <t>SC TO-T/A, accession 0001193125-26-409871</t>
  </si>
  <si>
    <t>HSR status</t>
  </si>
  <si>
    <t>Refiled 9/28; waiting period expected to expire 10/13/26</t>
  </si>
  <si>
    <t>SC TO-T/A, accession 0001193125-26-406039</t>
  </si>
  <si>
    <t>ACV TTM financials</t>
  </si>
  <si>
    <t>Revenue $801m; operating loss −$57m (TTM to Q2-26)</t>
  </si>
  <si>
    <t>ACV Auctions Form 10-K (FY25) and Form 10-Q (Q2-26), XBRL</t>
  </si>
  <si>
    <t>2/23/26; 8/10/26</t>
  </si>
  <si>
    <t>ACV 10-K accession 0001637873-26-000011; 10-Q accession 0001637873-26-000034</t>
  </si>
  <si>
    <t>10-year Treasury yield</t>
  </si>
  <si>
    <t>5.24%</t>
  </si>
  <si>
    <t>U.S. Treasury Daily Par Yield Curve Rates</t>
  </si>
  <si>
    <t>home.treasury.gov/resource-center/data-chart-center/interest-rates (Daily Treasury Par Yield Curve Rates, 2026)</t>
  </si>
  <si>
    <t>Manheim Used Vehicle Value Index</t>
  </si>
  <si>
    <t>−0.4% y/y, mid-September</t>
  </si>
  <si>
    <t>Cox Automotive, Manheim mid-month release</t>
  </si>
  <si>
    <t>Sep 2026</t>
  </si>
  <si>
    <t>coxautoinc.com/market-insights (Manheim Used Vehicle Value Index)</t>
  </si>
  <si>
    <t>Qualitative support only; not in formulas</t>
  </si>
  <si>
    <t>Consensus EPS (quarterly, FY27, FY28)</t>
  </si>
  <si>
    <t>See Consensus sheet</t>
  </si>
  <si>
    <t>Zacks via Nasdaq</t>
  </si>
  <si>
    <t>Secondary consensus</t>
  </si>
  <si>
    <t>10/1/26; re-verified 10/2/26</t>
  </si>
  <si>
    <t>nasdaq.com/market-activity/stocks/cprt/earnings (data: api.nasdaq.com/api/analyst/CPRT/earnings-forecast)</t>
  </si>
  <si>
    <t>Zacks estimates as of 10/1/26; re-verified 10/2/26.</t>
  </si>
  <si>
    <t>Share price</t>
  </si>
  <si>
    <t>$27.29</t>
  </si>
  <si>
    <t>Yahoo Finance daily close</t>
  </si>
  <si>
    <t>finance.yahoo.com/quote/CPRT/history</t>
  </si>
  <si>
    <t>Published FY27 EPS consensus</t>
  </si>
  <si>
    <t>$1.62 (n=9; range $1.56-$1.67)</t>
  </si>
  <si>
    <t>S&amp;P Global Market Intelligence via StockAnalysis</t>
  </si>
  <si>
    <t>stockanalysis.com/stocks/cprt/forecast/ (verified 10/2/26)</t>
  </si>
  <si>
    <t>Exact ACV treatment not disclosed</t>
  </si>
  <si>
    <t>Consensus EPS FY27 (cross-check)</t>
  </si>
  <si>
    <t>$1.75 (n=8)</t>
  </si>
  <si>
    <t>Yahoo Finance</t>
  </si>
  <si>
    <t>finance.yahoo.com/quote/CPRT/analysis</t>
  </si>
  <si>
    <t>Staleness cross-check only; not used</t>
  </si>
  <si>
    <t>Sell-side commentary</t>
  </si>
  <si>
    <t>Loss 'temporary'; further near-term declines</t>
  </si>
  <si>
    <t>HSBC note as reported by Investing.com</t>
  </si>
  <si>
    <t>9/17/26</t>
  </si>
  <si>
    <t>Investing.com news summary of the HSBC note (named secondary source)</t>
  </si>
  <si>
    <t>Context only; not in formulas</t>
  </si>
  <si>
    <t>Core ROIC; net-income CAGR</t>
  </si>
  <si>
    <t>~29% (FY26), ~31% (FY25); FY21-FY26 CAGR ~9.7%</t>
  </si>
  <si>
    <t>Team calculation from 10-K / 8-K data and SEC XBRL</t>
  </si>
  <si>
    <t>10/2/26</t>
  </si>
  <si>
    <t>data.sec.gov/api/xbrl/companyfacts/CIK0000900075.json</t>
  </si>
  <si>
    <t>ROIC = operating income × (1 − tax) / (equity − cash − HTM)</t>
  </si>
  <si>
    <t>Scenario drivers, probabilities, ROIC, growth, FY28 ACV</t>
  </si>
  <si>
    <t>See Scenarios</t>
  </si>
  <si>
    <t>Team model</t>
  </si>
  <si>
    <t>This workbook (Scenarios)</t>
  </si>
  <si>
    <t>Rationale rows on Scenarios</t>
  </si>
  <si>
    <t>Operating structure; horizon cash</t>
  </si>
  <si>
    <t>Team model (basis on Inputs)</t>
  </si>
  <si>
    <t>This workbook (Inputs)</t>
  </si>
  <si>
    <t>Beta 0.90; ERP 5%; terminal growth 3%</t>
  </si>
  <si>
    <t>DOJ AML investigation</t>
  </si>
  <si>
    <t>Ongoing investigation; potential outcome/loss not estimable</t>
  </si>
  <si>
    <t>Copart FY26 Form 10-K (Note 15 Commitments and Contingencies; Item 1A)</t>
  </si>
  <si>
    <t>Known legal/regulatory overhang; not modeled in thesis or valuation.</t>
  </si>
  <si>
    <t>Company scale</t>
  </si>
  <si>
    <t>286 operating facilities; ~1 million members in 185+ countries; 4 million+ vehicles sold a year</t>
  </si>
  <si>
    <t>Copart FY26 Form 10-K (Item 2 Properties); 8-K Ex. 99.1 (About Copart); Q4 FY26 call transcript (SC TO-C Ex. 99.2)</t>
  </si>
  <si>
    <t>10-K accession 0001193125-26-405731; 8-K accession 0001193125-26-387902; SC TO-C accession 0001193125-26-388383</t>
  </si>
  <si>
    <t>Memo cites 286 facilities (10-K)</t>
  </si>
  <si>
    <t>Trailing P/E and price de-rating</t>
  </si>
  <si>
    <t>~18x trailing P/E vs ~35x 2021-26 median; price −40% from 52-week high ($45.76, 10/21/25)</t>
  </si>
  <si>
    <t>Team calculation from Yahoo Finance prices and SEC XBRL EPS</t>
  </si>
  <si>
    <t>data.sec.gov companyfacts; finance.yahoo.com/quote/CPRT/history</t>
  </si>
  <si>
    <t>Supports 'the stock has already de-rated materially'</t>
  </si>
  <si>
    <t>Post-earnings-reaction study</t>
  </si>
  <si>
    <t>Full sample (governing): 3M mean excess +4.5% / +5.6% / +6.3% (n = 22 / 13 / 9)</t>
  </si>
  <si>
    <t>Team backtest (point-in-time)</t>
  </si>
  <si>
    <t>This workbook (Checks: study design and results)</t>
  </si>
  <si>
    <t>Basis for the planned exit after Q2</t>
  </si>
  <si>
    <t>Calibration: zero-growth replay of FY26 vs reported diluted EPS (FY26 quarterly diluted shares)</t>
  </si>
  <si>
    <t>FY26</t>
  </si>
  <si>
    <t>Model replay ($/sh)</t>
  </si>
  <si>
    <t>Reported ($/sh)</t>
  </si>
  <si>
    <t>Difference ($/sh)</t>
  </si>
  <si>
    <t>Model excludes certain other income / FX / NCI items; FY26 replay differs from reported EPS by approximately $0.01/share (~0.4%; F7).</t>
  </si>
  <si>
    <t>Integrity</t>
  </si>
  <si>
    <t>Scenario probabilities sum to 100%</t>
  </si>
  <si>
    <t>Cost of equity exceeds terminal growth, base and stress</t>
  </si>
  <si>
    <t>Sensitivity engine base case = Valuation W2 value</t>
  </si>
  <si>
    <t>Sensitivity engine base FY27 EPS = EPS_Build W2</t>
  </si>
  <si>
    <t>EPS bridge ends at EPS_Build W2 FY27 EPS ex-ACV</t>
  </si>
  <si>
    <t>Displayed bridge (memo, $0.01) sums exactly</t>
  </si>
  <si>
    <t>FY27 GAAP EPS = ex-ACV EPS + ACV impact (all worlds)</t>
  </si>
  <si>
    <t>Lost-customer reconciliation: W2 share in Q4 FY26 base between 0% and 100%</t>
  </si>
  <si>
    <t>ACV consolidated share of Q2 between 0% and 100%</t>
  </si>
  <si>
    <t>Payout ratios valid: year-1 and normalized payouts between 0% and 100%, all worlds</t>
  </si>
  <si>
    <t>Growth below incremental ROIC (year-1 g1 and normalized g), all worlds</t>
  </si>
  <si>
    <t>Waterfall ties: FY26 EPS + bridge = FY27 ex-ACV; + ACV impact = FY27 GAAP (W2)</t>
  </si>
  <si>
    <t>Post-earnings-reaction study (holding-period discipline)</t>
  </si>
  <si>
    <t>Sample period</t>
  </si>
  <si>
    <t>Governing: all CPRT earnings releases Sep 2004 - Sep 2026 (89 releases), COVID period included. Robustness: excludes Feb 2020 - Jun 2023. The 9/10/26 release has no forward window yet.</t>
  </si>
  <si>
    <t>Event definition</t>
  </si>
  <si>
    <t>2-day excess reaction vs SPY, close(t+1) / close(t−1), around the earnings-release 8-K date; a price reaction, not an EPS miss vs consensus</t>
  </si>
  <si>
    <t>Thresholds tested</t>
  </si>
  <si>
    <t>Excess reaction ≤ −3%, ≤ −5%, ≤ −7%</t>
  </si>
  <si>
    <t>Benchmark / forward window</t>
  </si>
  <si>
    <t>SPY; excess return from the close of day t+1 over 21 / 63 / 126 trading days (1M / 3M / 6M); 3M governs</t>
  </si>
  <si>
    <t>Team backtest (scripts/backtest.py); prices: Yahoo Finance; dates: SEC 8-K filing dates</t>
  </si>
  <si>
    <t>Governing: full sample (incl. COVID)</t>
  </si>
  <si>
    <t>Threshold (2-day excess)</t>
  </si>
  <si>
    <t>Events</t>
  </si>
  <si>
    <t>n (with 3M)</t>
  </si>
  <si>
    <t>1M mean</t>
  </si>
  <si>
    <t>3M mean</t>
  </si>
  <si>
    <t>3M median</t>
  </si>
  <si>
    <t>3M hit rate</t>
  </si>
  <si>
    <t>≤ −3%</t>
  </si>
  <si>
    <t>≤ −5%</t>
  </si>
  <si>
    <t>≤ −7%</t>
  </si>
  <si>
    <t>Robustness only: ex-COVID (Feb 2020 - Jun 2023 excluded)</t>
  </si>
  <si>
    <t>Full-sample 6M mean excess: +3.6% / +4.3% / +4.1%. Positive 3M drift after large negative reactions in both samples argues against holding the short past Q2.</t>
  </si>
  <si>
    <t>Copart (NASDAQ: CPRT) - SHORT</t>
  </si>
  <si>
    <t>m shares</t>
  </si>
  <si>
    <t>$/share</t>
  </si>
  <si>
    <t>Sources: Audit Ledger</t>
  </si>
  <si>
    <t>FY27 EPS Build (Aug-26 to Jul-27), $m unless stated</t>
  </si>
  <si>
    <t>Model Checks</t>
  </si>
  <si>
    <t>We are short CPRT because a major insurance-customer loss is creating an FY27 earnings hole that consensus still underestimates. We model $0.37 Q1 EPS and $1.45 FY27 EPS ex-ACV versus $0.41 and $1.62–$1.65 consensus, with Q1/Q2 earnings as the discovery window.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</si>
</sst>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\$#,##0.00_);[Red]\(\$#,##0.00\);&quot;-&quot;_)"/>
    <numFmt numFmtId="165" formatCode="#,##0.0_);[Red]\(#,##0.0\);&quot;-&quot;_)"/>
    <numFmt numFmtId="166" formatCode="0.0%_);[Red]\(0.0%\);&quot;-&quot;_)"/>
    <numFmt numFmtId="167" formatCode="0.00_);[Red]\(0.00\);&quot;-&quot;_)"/>
    <numFmt numFmtId="168" formatCode="0.00%_);[Red]\(0.00%\);&quot;-&quot;_)"/>
    <numFmt numFmtId="169" formatCode="0.0&quot;x&quot;_);[Red]\(0.0&quot;x&quot;\);&quot;-&quot;_)"/>
    <numFmt numFmtId="170" formatCode="\+0.0%;[Red]\-0.0%;&quot;-&quot;"/>
    <numFmt numFmtId="171" formatCode="\$0.00;;;"/>
    <numFmt numFmtId="172" formatCode="&quot;+&quot;\$0.00;;;"/>
    <numFmt numFmtId="173" formatCode="&quot;−&quot;\$0.00;;;"/>
  </numFmts>
  <fonts count="11" x14ac:knownFonts="1">
    <font>
      <sz val="11"/>
      <color theme="1"/>
      <name val="Calibri"/>
      <family val="2"/>
      <scheme val="minor"/>
    </font>
    <font>
      <b/>
      <sz val="14"/>
      <color rgb="FF17365D"/>
      <name val="Arial"/>
    </font>
    <font>
      <sz val="9"/>
      <color rgb="FF000000"/>
      <name val="Arial"/>
    </font>
    <font>
      <b/>
      <sz val="10"/>
      <color rgb="FF17365D"/>
      <name val="Arial"/>
    </font>
    <font>
      <b/>
      <sz val="9"/>
      <color rgb="FF17365D"/>
      <name val="Arial"/>
    </font>
    <font>
      <sz val="9"/>
      <color rgb="FF0000FF"/>
      <name val="Arial"/>
    </font>
    <font>
      <b/>
      <sz val="9"/>
      <color rgb="FF000000"/>
      <name val="Arial"/>
    </font>
    <font>
      <i/>
      <sz val="8"/>
      <color rgb="FF000000"/>
      <name val="Arial"/>
    </font>
    <font>
      <sz val="9"/>
      <color rgb="FF00703C"/>
      <name val="Arial"/>
    </font>
    <font>
      <b/>
      <sz val="9"/>
      <color rgb="FF00703C"/>
      <name val="Arial"/>
    </font>
    <font>
      <b/>
      <i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rgb="FF17365D"/>
      </bottom>
      <diagonal/>
    </border>
    <border>
      <left/>
      <right/>
      <top/>
      <bottom style="thin">
        <color rgb="FF17365D"/>
      </bottom>
      <diagonal/>
    </border>
    <border>
      <left style="thin">
        <color rgb="FF8C96A5"/>
      </left>
      <right/>
      <top style="thin">
        <color rgb="FF8C96A5"/>
      </top>
      <bottom/>
      <diagonal/>
    </border>
    <border>
      <left/>
      <right/>
      <top style="thin">
        <color rgb="FF8C96A5"/>
      </top>
      <bottom/>
      <diagonal/>
    </border>
    <border>
      <left/>
      <right style="thin">
        <color rgb="FF8C96A5"/>
      </right>
      <top style="thin">
        <color rgb="FF8C96A5"/>
      </top>
      <bottom/>
      <diagonal/>
    </border>
    <border>
      <left style="thin">
        <color rgb="FF8C96A5"/>
      </left>
      <right/>
      <top/>
      <bottom/>
      <diagonal/>
    </border>
    <border>
      <left/>
      <right/>
      <top/>
      <bottom/>
      <diagonal/>
    </border>
    <border>
      <left/>
      <right style="thin">
        <color rgb="FF8C96A5"/>
      </right>
      <top/>
      <bottom/>
      <diagonal/>
    </border>
    <border>
      <left style="thin">
        <color rgb="FF8C96A5"/>
      </left>
      <right/>
      <top/>
      <bottom style="thin">
        <color rgb="FF8C96A5"/>
      </bottom>
      <diagonal/>
    </border>
    <border>
      <left/>
      <right/>
      <top/>
      <bottom style="thin">
        <color rgb="FF8C96A5"/>
      </bottom>
      <diagonal/>
    </border>
    <border>
      <left/>
      <right style="thin">
        <color rgb="FF8C96A5"/>
      </right>
      <top/>
      <bottom style="thin">
        <color rgb="FF8C96A5"/>
      </bottom>
      <diagonal/>
    </border>
    <border>
      <left/>
      <right/>
      <top style="thin">
        <color rgb="FF8C96A5"/>
      </top>
      <bottom style="thin">
        <color rgb="FF8C96A5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rgb="FF8C96A5"/>
      </left>
      <right/>
      <top/>
      <bottom style="thin">
        <color rgb="FF17365D"/>
      </bottom>
      <diagonal/>
    </border>
    <border>
      <left style="thin">
        <color rgb="FF8C96A5"/>
      </left>
      <right/>
      <top/>
      <bottom style="thin">
        <color rgb="FFD9D9D9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/>
    <xf numFmtId="0" fontId="2" fillId="0" borderId="13" xfId="0" applyFont="1" applyBorder="1" applyAlignment="1">
      <alignment horizontal="left" vertical="center"/>
    </xf>
    <xf numFmtId="164" fontId="8" fillId="0" borderId="13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right"/>
    </xf>
    <xf numFmtId="166" fontId="8" fillId="0" borderId="13" xfId="0" applyNumberFormat="1" applyFont="1" applyBorder="1" applyAlignment="1">
      <alignment horizontal="right" vertical="center"/>
    </xf>
    <xf numFmtId="0" fontId="6" fillId="0" borderId="13" xfId="0" applyFont="1" applyBorder="1" applyAlignment="1">
      <alignment horizontal="left" vertical="center"/>
    </xf>
    <xf numFmtId="166" fontId="9" fillId="0" borderId="13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right" wrapText="1"/>
    </xf>
    <xf numFmtId="169" fontId="8" fillId="0" borderId="13" xfId="0" applyNumberFormat="1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164" fontId="9" fillId="0" borderId="0" xfId="0" applyNumberFormat="1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6" fillId="0" borderId="3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/>
    </xf>
    <xf numFmtId="0" fontId="2" fillId="0" borderId="13" xfId="0" applyFont="1" applyBorder="1" applyAlignment="1">
      <alignment horizontal="right" vertical="center"/>
    </xf>
    <xf numFmtId="1" fontId="5" fillId="0" borderId="13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center" wrapText="1"/>
    </xf>
    <xf numFmtId="164" fontId="5" fillId="0" borderId="13" xfId="0" applyNumberFormat="1" applyFont="1" applyBorder="1" applyAlignment="1">
      <alignment horizontal="right" vertical="center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 wrapText="1"/>
    </xf>
    <xf numFmtId="165" fontId="5" fillId="0" borderId="13" xfId="0" applyNumberFormat="1" applyFont="1" applyBorder="1" applyAlignment="1">
      <alignment horizontal="right" vertical="center"/>
    </xf>
    <xf numFmtId="166" fontId="5" fillId="0" borderId="13" xfId="0" applyNumberFormat="1" applyFont="1" applyBorder="1" applyAlignment="1">
      <alignment horizontal="right" vertical="center"/>
    </xf>
    <xf numFmtId="167" fontId="5" fillId="0" borderId="13" xfId="0" applyNumberFormat="1" applyFont="1" applyBorder="1" applyAlignment="1">
      <alignment horizontal="right" vertical="center"/>
    </xf>
    <xf numFmtId="166" fontId="6" fillId="0" borderId="13" xfId="0" applyNumberFormat="1" applyFont="1" applyBorder="1" applyAlignment="1">
      <alignment horizontal="right" vertical="center"/>
    </xf>
    <xf numFmtId="166" fontId="2" fillId="0" borderId="13" xfId="0" applyNumberFormat="1" applyFont="1" applyBorder="1" applyAlignment="1">
      <alignment horizontal="right" vertical="center"/>
    </xf>
    <xf numFmtId="168" fontId="5" fillId="0" borderId="13" xfId="0" applyNumberFormat="1" applyFont="1" applyBorder="1" applyAlignment="1">
      <alignment horizontal="right" vertical="center"/>
    </xf>
    <xf numFmtId="168" fontId="6" fillId="0" borderId="13" xfId="0" applyNumberFormat="1" applyFont="1" applyBorder="1" applyAlignment="1">
      <alignment horizontal="right" vertical="center"/>
    </xf>
    <xf numFmtId="168" fontId="2" fillId="0" borderId="13" xfId="0" applyNumberFormat="1" applyFont="1" applyBorder="1" applyAlignment="1">
      <alignment horizontal="right" vertical="center"/>
    </xf>
    <xf numFmtId="166" fontId="2" fillId="0" borderId="13" xfId="0" applyNumberFormat="1" applyFont="1" applyBorder="1" applyAlignment="1">
      <alignment horizontal="right" vertical="center" wrapText="1"/>
    </xf>
    <xf numFmtId="0" fontId="6" fillId="0" borderId="14" xfId="0" applyFont="1" applyBorder="1" applyAlignment="1">
      <alignment horizontal="left" vertical="center"/>
    </xf>
    <xf numFmtId="166" fontId="6" fillId="0" borderId="14" xfId="0" applyNumberFormat="1" applyFont="1" applyBorder="1" applyAlignment="1">
      <alignment horizontal="right" vertical="center"/>
    </xf>
    <xf numFmtId="0" fontId="0" fillId="0" borderId="14" xfId="0" applyBorder="1"/>
    <xf numFmtId="0" fontId="2" fillId="0" borderId="14" xfId="0" applyFont="1" applyBorder="1" applyAlignment="1">
      <alignment horizontal="left" vertical="center" wrapText="1"/>
    </xf>
    <xf numFmtId="0" fontId="0" fillId="0" borderId="13" xfId="0" applyBorder="1"/>
    <xf numFmtId="165" fontId="2" fillId="0" borderId="13" xfId="0" applyNumberFormat="1" applyFont="1" applyBorder="1" applyAlignment="1">
      <alignment horizontal="right" vertical="center"/>
    </xf>
    <xf numFmtId="165" fontId="6" fillId="0" borderId="13" xfId="0" applyNumberFormat="1" applyFont="1" applyBorder="1" applyAlignment="1">
      <alignment horizontal="right" vertical="center"/>
    </xf>
    <xf numFmtId="164" fontId="2" fillId="0" borderId="13" xfId="0" applyNumberFormat="1" applyFont="1" applyBorder="1" applyAlignment="1">
      <alignment horizontal="right" vertical="center"/>
    </xf>
    <xf numFmtId="164" fontId="6" fillId="0" borderId="13" xfId="0" applyNumberFormat="1" applyFont="1" applyBorder="1" applyAlignment="1">
      <alignment horizontal="right" vertical="center"/>
    </xf>
    <xf numFmtId="0" fontId="2" fillId="0" borderId="14" xfId="0" applyFont="1" applyBorder="1" applyAlignment="1">
      <alignment horizontal="left" vertical="center"/>
    </xf>
    <xf numFmtId="164" fontId="8" fillId="0" borderId="14" xfId="0" applyNumberFormat="1" applyFont="1" applyBorder="1" applyAlignment="1">
      <alignment horizontal="right" vertical="center"/>
    </xf>
    <xf numFmtId="166" fontId="5" fillId="0" borderId="14" xfId="0" applyNumberFormat="1" applyFont="1" applyBorder="1" applyAlignment="1">
      <alignment horizontal="right" vertical="center"/>
    </xf>
    <xf numFmtId="1" fontId="5" fillId="0" borderId="14" xfId="0" applyNumberFormat="1" applyFont="1" applyBorder="1" applyAlignment="1">
      <alignment horizontal="right" vertical="center"/>
    </xf>
    <xf numFmtId="164" fontId="2" fillId="0" borderId="14" xfId="0" applyNumberFormat="1" applyFont="1" applyBorder="1" applyAlignment="1">
      <alignment horizontal="right" vertical="center"/>
    </xf>
    <xf numFmtId="166" fontId="8" fillId="0" borderId="14" xfId="0" applyNumberFormat="1" applyFont="1" applyBorder="1" applyAlignment="1">
      <alignment horizontal="right" vertical="center"/>
    </xf>
    <xf numFmtId="164" fontId="6" fillId="0" borderId="14" xfId="0" applyNumberFormat="1" applyFont="1" applyBorder="1" applyAlignment="1">
      <alignment horizontal="right" vertical="center"/>
    </xf>
    <xf numFmtId="164" fontId="5" fillId="0" borderId="14" xfId="0" applyNumberFormat="1" applyFont="1" applyBorder="1" applyAlignment="1">
      <alignment horizontal="right" vertical="center"/>
    </xf>
    <xf numFmtId="171" fontId="2" fillId="0" borderId="14" xfId="0" applyNumberFormat="1" applyFont="1" applyBorder="1" applyAlignment="1">
      <alignment horizontal="right" vertical="center"/>
    </xf>
    <xf numFmtId="172" fontId="5" fillId="0" borderId="14" xfId="0" applyNumberFormat="1" applyFont="1" applyBorder="1" applyAlignment="1">
      <alignment horizontal="right" vertical="center"/>
    </xf>
    <xf numFmtId="173" fontId="5" fillId="0" borderId="14" xfId="0" applyNumberFormat="1" applyFont="1" applyBorder="1" applyAlignment="1">
      <alignment horizontal="right" vertical="center"/>
    </xf>
    <xf numFmtId="171" fontId="5" fillId="0" borderId="14" xfId="0" applyNumberFormat="1" applyFont="1" applyBorder="1" applyAlignment="1">
      <alignment horizontal="right" vertical="center"/>
    </xf>
    <xf numFmtId="172" fontId="2" fillId="0" borderId="14" xfId="0" applyNumberFormat="1" applyFont="1" applyBorder="1" applyAlignment="1">
      <alignment horizontal="right" vertical="center"/>
    </xf>
    <xf numFmtId="173" fontId="2" fillId="0" borderId="14" xfId="0" applyNumberFormat="1" applyFont="1" applyBorder="1" applyAlignment="1">
      <alignment horizontal="right" vertical="center"/>
    </xf>
    <xf numFmtId="0" fontId="4" fillId="0" borderId="12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right" vertical="center" wrapText="1"/>
    </xf>
    <xf numFmtId="0" fontId="6" fillId="0" borderId="12" xfId="0" applyFont="1" applyBorder="1" applyAlignment="1">
      <alignment horizontal="left" vertical="center"/>
    </xf>
    <xf numFmtId="164" fontId="6" fillId="0" borderId="12" xfId="0" applyNumberFormat="1" applyFont="1" applyBorder="1" applyAlignment="1">
      <alignment horizontal="right" vertical="center"/>
    </xf>
    <xf numFmtId="168" fontId="8" fillId="0" borderId="13" xfId="0" applyNumberFormat="1" applyFont="1" applyBorder="1" applyAlignment="1">
      <alignment horizontal="right" vertical="center"/>
    </xf>
    <xf numFmtId="169" fontId="6" fillId="0" borderId="12" xfId="0" applyNumberFormat="1" applyFont="1" applyBorder="1" applyAlignment="1">
      <alignment horizontal="right" vertical="center"/>
    </xf>
    <xf numFmtId="166" fontId="6" fillId="0" borderId="12" xfId="0" applyNumberFormat="1" applyFont="1" applyBorder="1" applyAlignment="1">
      <alignment horizontal="right" vertical="center"/>
    </xf>
    <xf numFmtId="169" fontId="2" fillId="0" borderId="13" xfId="0" applyNumberFormat="1" applyFont="1" applyBorder="1" applyAlignment="1">
      <alignment horizontal="right" vertical="center"/>
    </xf>
    <xf numFmtId="166" fontId="2" fillId="0" borderId="14" xfId="0" applyNumberFormat="1" applyFont="1" applyBorder="1" applyAlignment="1">
      <alignment horizontal="right" vertical="center"/>
    </xf>
    <xf numFmtId="168" fontId="8" fillId="0" borderId="14" xfId="0" applyNumberFormat="1" applyFont="1" applyBorder="1" applyAlignment="1">
      <alignment horizontal="right" vertical="center"/>
    </xf>
    <xf numFmtId="169" fontId="2" fillId="0" borderId="14" xfId="0" applyNumberFormat="1" applyFont="1" applyBorder="1" applyAlignment="1">
      <alignment horizontal="right" vertical="center"/>
    </xf>
    <xf numFmtId="170" fontId="5" fillId="0" borderId="14" xfId="0" applyNumberFormat="1" applyFont="1" applyBorder="1" applyAlignment="1">
      <alignment horizontal="right" vertical="center"/>
    </xf>
    <xf numFmtId="168" fontId="2" fillId="0" borderId="14" xfId="0" applyNumberFormat="1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165" fontId="5" fillId="0" borderId="14" xfId="0" applyNumberFormat="1" applyFont="1" applyBorder="1" applyAlignment="1">
      <alignment horizontal="right" vertical="center"/>
    </xf>
    <xf numFmtId="0" fontId="5" fillId="0" borderId="13" xfId="0" applyFont="1" applyBorder="1" applyAlignment="1">
      <alignment horizontal="right" vertical="center"/>
    </xf>
    <xf numFmtId="0" fontId="2" fillId="0" borderId="13" xfId="0" applyFont="1" applyBorder="1" applyAlignment="1">
      <alignment horizontal="right" vertical="center" wrapText="1"/>
    </xf>
    <xf numFmtId="0" fontId="4" fillId="0" borderId="15" xfId="0" applyFont="1" applyBorder="1" applyAlignment="1">
      <alignment horizontal="right" wrapText="1"/>
    </xf>
    <xf numFmtId="164" fontId="6" fillId="0" borderId="16" xfId="0" applyNumberFormat="1" applyFont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2" fillId="0" borderId="14" xfId="0" applyFont="1" applyBorder="1" applyAlignment="1">
      <alignment horizontal="left" vertical="center" wrapText="1"/>
    </xf>
    <xf numFmtId="0" fontId="0" fillId="0" borderId="14" xfId="0" applyBorder="1"/>
    <xf numFmtId="0" fontId="2" fillId="0" borderId="0" xfId="0" applyFont="1" applyAlignment="1">
      <alignment horizontal="left" vertical="center" wrapText="1"/>
    </xf>
    <xf numFmtId="0" fontId="0" fillId="0" borderId="0" xfId="0"/>
    <xf numFmtId="0" fontId="2" fillId="0" borderId="10" xfId="0" applyFont="1" applyBorder="1" applyAlignment="1">
      <alignment horizontal="left" vertical="top" wrapText="1"/>
    </xf>
    <xf numFmtId="0" fontId="0" fillId="0" borderId="10" xfId="0" applyBorder="1"/>
    <xf numFmtId="0" fontId="0" fillId="0" borderId="11" xfId="0" applyBorder="1"/>
    <xf numFmtId="0" fontId="2" fillId="0" borderId="7" xfId="0" applyFont="1" applyBorder="1" applyAlignment="1">
      <alignment horizontal="left" vertical="top" wrapText="1"/>
    </xf>
    <xf numFmtId="0" fontId="0" fillId="0" borderId="7" xfId="0" applyBorder="1"/>
    <xf numFmtId="0" fontId="0" fillId="0" borderId="8" xfId="0" applyBorder="1"/>
    <xf numFmtId="0" fontId="2" fillId="0" borderId="4" xfId="0" applyFont="1" applyBorder="1" applyAlignment="1">
      <alignment horizontal="left" vertical="top" wrapText="1"/>
    </xf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000" b="1">
                <a:solidFill>
                  <a:srgbClr val="17365D"/>
                </a:solidFill>
                <a:latin typeface="Arial"/>
              </a:defRPr>
            </a:pPr>
            <a:r>
              <a:rPr lang="en-US" sz="1000" b="1">
                <a:solidFill>
                  <a:srgbClr val="17365D"/>
                </a:solidFill>
                <a:latin typeface="Arial"/>
              </a:rPr>
              <a:t>FY27 Quarterly EPS: Consensus vs Margin Callers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Summary!$B$35</c:f>
              <c:strCache>
                <c:ptCount val="1"/>
                <c:pt idx="0">
                  <c:v>Zacks consensus</c:v>
                </c:pt>
              </c:strCache>
            </c:strRef>
          </c:tx>
          <c:spPr>
            <a:solidFill>
              <a:srgbClr val="17365D"/>
            </a:solidFill>
            <a:ln>
              <a:noFill/>
              <a:prstDash val="solid"/>
            </a:ln>
          </c:spPr>
          <c:invertIfNegative val="1"/>
          <c:cat>
            <c:strRef>
              <c:f>Summary!$A$36:$A$39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Summary!$B$36:$B$39</c:f>
              <c:numCache>
                <c:formatCode>\$#,##0.00_);[Red]\(\$#,##0.00\);"-"_)</c:formatCode>
                <c:ptCount val="4"/>
                <c:pt idx="0">
                  <c:v>0.41</c:v>
                </c:pt>
                <c:pt idx="1">
                  <c:v>0.37</c:v>
                </c:pt>
                <c:pt idx="2">
                  <c:v>0.45</c:v>
                </c:pt>
                <c:pt idx="3">
                  <c:v>0.41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49C-4427-B750-37233D28F1AA}"/>
            </c:ext>
          </c:extLst>
        </c:ser>
        <c:ser>
          <c:idx val="1"/>
          <c:order val="1"/>
          <c:tx>
            <c:strRef>
              <c:f>Summary!$C$35</c:f>
              <c:strCache>
                <c:ptCount val="1"/>
                <c:pt idx="0">
                  <c:v>Margin Callers ex-ACV</c:v>
                </c:pt>
              </c:strCache>
            </c:strRef>
          </c:tx>
          <c:spPr>
            <a:solidFill>
              <a:srgbClr val="9B2C2C"/>
            </a:solidFill>
            <a:ln>
              <a:noFill/>
              <a:prstDash val="solid"/>
            </a:ln>
          </c:spPr>
          <c:invertIfNegative val="1"/>
          <c:cat>
            <c:strRef>
              <c:f>Summary!$A$36:$A$39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Summary!$C$36:$C$39</c:f>
              <c:numCache>
                <c:formatCode>\$#,##0.00_);[Red]\(\$#,##0.00\);"-"_)</c:formatCode>
                <c:ptCount val="4"/>
                <c:pt idx="0">
                  <c:v>0.3673904086909871</c:v>
                </c:pt>
                <c:pt idx="1">
                  <c:v>0.33206110938841205</c:v>
                </c:pt>
                <c:pt idx="2">
                  <c:v>0.39611609087982835</c:v>
                </c:pt>
                <c:pt idx="3">
                  <c:v>0.35651981543656425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49C-4427-B750-37233D28F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350">
            <a:solidFill>
              <a:srgbClr val="808080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0.5"/>
          <c:min val="0"/>
        </c:scaling>
        <c:delete val="0"/>
        <c:axPos val="l"/>
        <c:majorGridlines>
          <c:spPr>
            <a:ln w="6350">
              <a:solidFill>
                <a:srgbClr val="E3E3E3"/>
              </a:solidFill>
              <a:prstDash val="solid"/>
            </a:ln>
          </c:spPr>
        </c:majorGridlines>
        <c:numFmt formatCode="\$0.0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  <c:majorUnit val="0.1"/>
      </c:valAx>
      <c:spPr>
        <a:noFill/>
        <a:ln>
          <a:noFill/>
          <a:prstDash val="solid"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000000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6350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000" b="1">
                <a:solidFill>
                  <a:srgbClr val="17365D"/>
                </a:solidFill>
                <a:latin typeface="Arial"/>
              </a:defRPr>
            </a:pPr>
            <a:r>
              <a:rPr lang="en-US" sz="1000" b="1">
                <a:solidFill>
                  <a:srgbClr val="17365D"/>
                </a:solidFill>
                <a:latin typeface="Arial"/>
              </a:rPr>
              <a:t>Scenario Value per Share at Mid-Feb 2027 Exit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17365D"/>
            </a:solidFill>
            <a:ln>
              <a:noFill/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5D84-43B8-954D-0EF7D4BA9A55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5D84-43B8-954D-0EF7D4BA9A55}"/>
              </c:ext>
            </c:extLst>
          </c:dPt>
          <c:dPt>
            <c:idx val="2"/>
            <c:invertIfNegative val="1"/>
            <c:bubble3D val="0"/>
            <c:spPr>
              <a:solidFill>
                <a:srgbClr val="8C96A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D84-43B8-954D-0EF7D4BA9A55}"/>
              </c:ext>
            </c:extLst>
          </c:dPt>
          <c:dPt>
            <c:idx val="3"/>
            <c:invertIfNegative val="1"/>
            <c:bubble3D val="0"/>
            <c:spPr>
              <a:solidFill>
                <a:srgbClr val="8C96A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D84-43B8-954D-0EF7D4BA9A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Summary!$A$20:$A$23</c:f>
              <c:strCache>
                <c:ptCount val="4"/>
                <c:pt idx="0">
                  <c:v>W1 Loss deepens</c:v>
                </c:pt>
                <c:pt idx="1">
                  <c:v>W2 FY27 trough / FY28 normalizes</c:v>
                </c:pt>
                <c:pt idx="2">
                  <c:v>W3 Cycle turns / ACV improves</c:v>
                </c:pt>
                <c:pt idx="3">
                  <c:v>W4 Street right / share recapture</c:v>
                </c:pt>
              </c:strCache>
            </c:strRef>
          </c:cat>
          <c:val>
            <c:numRef>
              <c:f>Summary!$G$20:$G$23</c:f>
              <c:numCache>
                <c:formatCode>\$#,##0.00_);[Red]\(\$#,##0.00\);"-"_)</c:formatCode>
                <c:ptCount val="4"/>
                <c:pt idx="0">
                  <c:v>17.341255358850521</c:v>
                </c:pt>
                <c:pt idx="1">
                  <c:v>23.103868721663684</c:v>
                </c:pt>
                <c:pt idx="2">
                  <c:v>29.780525230662761</c:v>
                </c:pt>
                <c:pt idx="3">
                  <c:v>31.300616712566416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5D84-43B8-954D-0EF7D4BA9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scatterChart>
        <c:scatterStyle val="lineMarker"/>
        <c:varyColors val="1"/>
        <c:ser>
          <c:idx val="1"/>
          <c:order val="1"/>
          <c:tx>
            <c:strRef>
              <c:f>Summary!$A$43</c:f>
              <c:strCache>
                <c:ptCount val="1"/>
                <c:pt idx="0">
                  <c:v>Current price $27.29</c:v>
                </c:pt>
              </c:strCache>
            </c:strRef>
          </c:tx>
          <c:spPr>
            <a:ln w="15875">
              <a:solidFill>
                <a:srgbClr val="9B2C2C"/>
              </a:solidFill>
              <a:prstDash val="dash"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2.3518518518518692E-2"/>
                  <c:y val="-3.3370870870870879E-2"/>
                </c:manualLayout>
              </c:layout>
              <c:spPr/>
              <c:txPr>
                <a:bodyPr/>
                <a:lstStyle/>
                <a:p>
                  <a:pPr>
                    <a:defRPr sz="800" b="1">
                      <a:solidFill>
                        <a:srgbClr val="9B2C2C"/>
                      </a:solidFill>
                      <a:latin typeface="Arial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D84-43B8-954D-0EF7D4BA9A5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Summary!$B$43:$B$44</c:f>
              <c:numCache>
                <c:formatCode>\$#,##0.00_);[Red]\(\$#,##0.00\);"-"_)</c:formatCode>
                <c:ptCount val="2"/>
                <c:pt idx="0">
                  <c:v>27.29</c:v>
                </c:pt>
                <c:pt idx="1">
                  <c:v>27.29</c:v>
                </c:pt>
              </c:numCache>
            </c:numRef>
          </c:xVal>
          <c:yVal>
            <c:numRef>
              <c:f>Summary!$C$43:$C$44</c:f>
              <c:numCache>
                <c:formatCode>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D84-43B8-954D-0EF7D4BA9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"/>
        <c:axId val="200"/>
      </c:scatte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350">
            <a:solidFill>
              <a:srgbClr val="808080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3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1">
                    <a:solidFill>
                      <a:srgbClr val="17365D"/>
                    </a:solidFill>
                    <a:latin typeface="Arial"/>
                  </a:defRPr>
                </a:pPr>
                <a:r>
                  <a:rPr lang="en-US" sz="800" b="1">
                    <a:solidFill>
                      <a:srgbClr val="17365D"/>
                    </a:solidFill>
                    <a:latin typeface="Arial"/>
                  </a:rPr>
                  <a:t>Value per share ($)</a:t>
                </a:r>
              </a:p>
            </c:rich>
          </c:tx>
          <c:overlay val="0"/>
        </c:title>
        <c:numFmt formatCode="\$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0"/>
        <c:crosses val="max"/>
        <c:crossBetween val="between"/>
        <c:majorUnit val="5"/>
      </c:valAx>
      <c:valAx>
        <c:axId val="300"/>
        <c:scaling>
          <c:orientation val="minMax"/>
          <c:max val="35"/>
          <c:min val="0"/>
        </c:scaling>
        <c:delete val="1"/>
        <c:axPos val="b"/>
        <c:numFmt formatCode="\$#,##0.00_);[Red]\(\$#,##0.00\);&quot;-&quot;_)" sourceLinked="1"/>
        <c:majorTickMark val="none"/>
        <c:minorTickMark val="none"/>
        <c:tickLblPos val="nextTo"/>
        <c:crossAx val="200"/>
        <c:crosses val="autoZero"/>
        <c:crossBetween val="midCat"/>
      </c:valAx>
      <c:valAx>
        <c:axId val="200"/>
        <c:scaling>
          <c:orientation val="minMax"/>
          <c:max val="1"/>
          <c:min val="0"/>
        </c:scaling>
        <c:delete val="1"/>
        <c:axPos val="r"/>
        <c:numFmt formatCode="0" sourceLinked="1"/>
        <c:majorTickMark val="none"/>
        <c:minorTickMark val="none"/>
        <c:tickLblPos val="nextTo"/>
        <c:crossAx val="300"/>
        <c:crosses val="max"/>
        <c:crossBetween val="midCat"/>
      </c:valAx>
      <c:spPr>
        <a:noFill/>
        <a:ln>
          <a:noFill/>
          <a:prstDash val="solid"/>
        </a:ln>
      </c:spPr>
    </c:plotArea>
    <c:plotVisOnly val="1"/>
    <c:dispBlanksAs val="gap"/>
    <c:showDLblsOverMax val="1"/>
  </c:chart>
  <c:spPr>
    <a:solidFill>
      <a:srgbClr val="FFFFFF"/>
    </a:solidFill>
    <a:ln w="6350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000" b="1">
                <a:solidFill>
                  <a:srgbClr val="17365D"/>
                </a:solidFill>
                <a:latin typeface="Arial"/>
              </a:defRPr>
            </a:pPr>
            <a:r>
              <a:rPr lang="en-US" sz="1000" b="1">
                <a:solidFill>
                  <a:srgbClr val="17365D"/>
                </a:solidFill>
                <a:latin typeface="Arial"/>
              </a:rPr>
              <a:t>W2 FY27 EPS Bridge: FY26 Actual to FY27E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EPS_Build!$D$116</c:f>
              <c:strCache>
                <c:ptCount val="1"/>
                <c:pt idx="0">
                  <c:v>Base (hidden)</c:v>
                </c:pt>
              </c:strCache>
            </c:strRef>
          </c:tx>
          <c:spPr>
            <a:noFill/>
            <a:ln>
              <a:noFill/>
              <a:prstDash val="solid"/>
            </a:ln>
          </c:spPr>
          <c:invertIfNegative val="1"/>
          <c:cat>
            <c:strRef>
              <c:f>EPS_Build!$A$117:$A$125</c:f>
              <c:strCache>
                <c:ptCount val="9"/>
                <c:pt idx="0">
                  <c:v>FY26 EPS</c:v>
                </c:pt>
                <c:pt idx="1">
                  <c:v>Shares / interest / other</c:v>
                </c:pt>
                <c:pt idx="2">
                  <c:v>Lost customer</c:v>
                </c:pt>
                <c:pt idx="3">
                  <c:v>Underlying growth</c:v>
                </c:pt>
                <c:pt idx="4">
                  <c:v>Revenue per unit</c:v>
                </c:pt>
                <c:pt idx="5">
                  <c:v>Fixed-cost deleverage</c:v>
                </c:pt>
                <c:pt idx="6">
                  <c:v>FY27 ex-ACV</c:v>
                </c:pt>
                <c:pt idx="7">
                  <c:v>ACV impact</c:v>
                </c:pt>
                <c:pt idx="8">
                  <c:v>FY27 GAAP</c:v>
                </c:pt>
              </c:strCache>
            </c:strRef>
          </c:cat>
          <c:val>
            <c:numRef>
              <c:f>EPS_Build!$D$117:$D$125</c:f>
              <c:numCache>
                <c:formatCode>\$#,##0.00_);[Red]\(\$#,##0.00\);"-"_)</c:formatCode>
                <c:ptCount val="9"/>
                <c:pt idx="0">
                  <c:v>0</c:v>
                </c:pt>
                <c:pt idx="1">
                  <c:v>1.5499999999999998</c:v>
                </c:pt>
                <c:pt idx="2">
                  <c:v>1.3769231886938895</c:v>
                </c:pt>
                <c:pt idx="3">
                  <c:v>1.3769231886938895</c:v>
                </c:pt>
                <c:pt idx="4">
                  <c:v>1.4108348812689966</c:v>
                </c:pt>
                <c:pt idx="5">
                  <c:v>1.4520874243957917</c:v>
                </c:pt>
                <c:pt idx="6">
                  <c:v>0</c:v>
                </c:pt>
                <c:pt idx="7">
                  <c:v>1.3829887119494397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8-4F05-93F2-9851D0FBEE87}"/>
            </c:ext>
          </c:extLst>
        </c:ser>
        <c:ser>
          <c:idx val="1"/>
          <c:order val="1"/>
          <c:tx>
            <c:strRef>
              <c:f>EPS_Build!$E$116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7365D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EPS_Build!$A$117:$A$125</c:f>
              <c:strCache>
                <c:ptCount val="9"/>
                <c:pt idx="0">
                  <c:v>FY26 EPS</c:v>
                </c:pt>
                <c:pt idx="1">
                  <c:v>Shares / interest / other</c:v>
                </c:pt>
                <c:pt idx="2">
                  <c:v>Lost customer</c:v>
                </c:pt>
                <c:pt idx="3">
                  <c:v>Underlying growth</c:v>
                </c:pt>
                <c:pt idx="4">
                  <c:v>Revenue per unit</c:v>
                </c:pt>
                <c:pt idx="5">
                  <c:v>Fixed-cost deleverage</c:v>
                </c:pt>
                <c:pt idx="6">
                  <c:v>FY27 ex-ACV</c:v>
                </c:pt>
                <c:pt idx="7">
                  <c:v>ACV impact</c:v>
                </c:pt>
                <c:pt idx="8">
                  <c:v>FY27 GAAP</c:v>
                </c:pt>
              </c:strCache>
            </c:strRef>
          </c:cat>
          <c:val>
            <c:numRef>
              <c:f>EPS_Build!$E$117:$E$125</c:f>
              <c:numCache>
                <c:formatCode>\$0.00;;;</c:formatCode>
                <c:ptCount val="9"/>
                <c:pt idx="0">
                  <c:v>1.5499999999999998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1.4520874243957917</c:v>
                </c:pt>
                <c:pt idx="7">
                  <c:v>0</c:v>
                </c:pt>
                <c:pt idx="8">
                  <c:v>1.3829887119494397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CD8-4F05-93F2-9851D0FBEE87}"/>
            </c:ext>
          </c:extLst>
        </c:ser>
        <c:ser>
          <c:idx val="2"/>
          <c:order val="2"/>
          <c:tx>
            <c:strRef>
              <c:f>EPS_Build!$F$116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rgbClr val="8C96A5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EPS_Build!$A$117:$A$125</c:f>
              <c:strCache>
                <c:ptCount val="9"/>
                <c:pt idx="0">
                  <c:v>FY26 EPS</c:v>
                </c:pt>
                <c:pt idx="1">
                  <c:v>Shares / interest / other</c:v>
                </c:pt>
                <c:pt idx="2">
                  <c:v>Lost customer</c:v>
                </c:pt>
                <c:pt idx="3">
                  <c:v>Underlying growth</c:v>
                </c:pt>
                <c:pt idx="4">
                  <c:v>Revenue per unit</c:v>
                </c:pt>
                <c:pt idx="5">
                  <c:v>Fixed-cost deleverage</c:v>
                </c:pt>
                <c:pt idx="6">
                  <c:v>FY27 ex-ACV</c:v>
                </c:pt>
                <c:pt idx="7">
                  <c:v>ACV impact</c:v>
                </c:pt>
                <c:pt idx="8">
                  <c:v>FY27 GAAP</c:v>
                </c:pt>
              </c:strCache>
            </c:strRef>
          </c:cat>
          <c:val>
            <c:numRef>
              <c:f>EPS_Build!$F$117:$F$125</c:f>
              <c:numCache>
                <c:formatCode>"+"\$0.00;;;</c:formatCode>
                <c:ptCount val="9"/>
                <c:pt idx="0">
                  <c:v>0</c:v>
                </c:pt>
                <c:pt idx="1">
                  <c:v>1.4312795064377548E-2</c:v>
                </c:pt>
                <c:pt idx="2">
                  <c:v>0</c:v>
                </c:pt>
                <c:pt idx="3">
                  <c:v>3.3911692575107066E-2</c:v>
                </c:pt>
                <c:pt idx="4">
                  <c:v>9.5602480895035313E-2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CD8-4F05-93F2-9851D0FBEE87}"/>
            </c:ext>
          </c:extLst>
        </c:ser>
        <c:ser>
          <c:idx val="3"/>
          <c:order val="3"/>
          <c:tx>
            <c:strRef>
              <c:f>EPS_Build!$G$116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9B2C2C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EPS_Build!$A$117:$A$125</c:f>
              <c:strCache>
                <c:ptCount val="9"/>
                <c:pt idx="0">
                  <c:v>FY26 EPS</c:v>
                </c:pt>
                <c:pt idx="1">
                  <c:v>Shares / interest / other</c:v>
                </c:pt>
                <c:pt idx="2">
                  <c:v>Lost customer</c:v>
                </c:pt>
                <c:pt idx="3">
                  <c:v>Underlying growth</c:v>
                </c:pt>
                <c:pt idx="4">
                  <c:v>Revenue per unit</c:v>
                </c:pt>
                <c:pt idx="5">
                  <c:v>Fixed-cost deleverage</c:v>
                </c:pt>
                <c:pt idx="6">
                  <c:v>FY27 ex-ACV</c:v>
                </c:pt>
                <c:pt idx="7">
                  <c:v>ACV impact</c:v>
                </c:pt>
                <c:pt idx="8">
                  <c:v>FY27 GAAP</c:v>
                </c:pt>
              </c:strCache>
            </c:strRef>
          </c:cat>
          <c:val>
            <c:numRef>
              <c:f>EPS_Build!$G$117:$G$125</c:f>
              <c:numCache>
                <c:formatCode>"−"\$0.00;;;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0.18738960637048785</c:v>
                </c:pt>
                <c:pt idx="3">
                  <c:v>0</c:v>
                </c:pt>
                <c:pt idx="4">
                  <c:v>0</c:v>
                </c:pt>
                <c:pt idx="5">
                  <c:v>5.4349937768240153E-2</c:v>
                </c:pt>
                <c:pt idx="6">
                  <c:v>0</c:v>
                </c:pt>
                <c:pt idx="7">
                  <c:v>6.9098712446351962E-2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7CD8-4F05-93F2-9851D0FBE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350">
            <a:solidFill>
              <a:srgbClr val="808080"/>
            </a:solidFill>
            <a:prstDash val="solid"/>
          </a:ln>
        </c:spPr>
        <c:txPr>
          <a:bodyPr/>
          <a:lstStyle/>
          <a:p>
            <a:pPr>
              <a:defRPr sz="700" b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.6"/>
          <c:min val="1.2"/>
        </c:scaling>
        <c:delete val="0"/>
        <c:axPos val="l"/>
        <c:majorGridlines>
          <c:spPr>
            <a:ln w="6350">
              <a:solidFill>
                <a:srgbClr val="E3E3E3"/>
              </a:solidFill>
              <a:prstDash val="solid"/>
            </a:ln>
          </c:spPr>
        </c:majorGridlines>
        <c:numFmt formatCode="\$0.00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  <c:majorUnit val="0.1"/>
      </c:valAx>
      <c:spPr>
        <a:noFill/>
        <a:ln>
          <a:noFill/>
          <a:prstDash val="solid"/>
        </a:ln>
      </c:spPr>
    </c:plotArea>
    <c:plotVisOnly val="1"/>
    <c:dispBlanksAs val="gap"/>
    <c:showDLblsOverMax val="1"/>
  </c:chart>
  <c:spPr>
    <a:solidFill>
      <a:srgbClr val="FFFFFF"/>
    </a:solidFill>
    <a:ln w="6350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000" b="1">
                <a:solidFill>
                  <a:srgbClr val="17365D"/>
                </a:solidFill>
                <a:latin typeface="Arial"/>
              </a:defRPr>
            </a:pPr>
            <a:r>
              <a:rPr lang="en-US" sz="1000" b="1">
                <a:solidFill>
                  <a:srgbClr val="17365D"/>
                </a:solidFill>
                <a:latin typeface="Arial"/>
              </a:rPr>
              <a:t>Expected Short Return vs Cost of Equity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Expected short return</c:v>
          </c:tx>
          <c:spPr>
            <a:ln w="19050">
              <a:solidFill>
                <a:srgbClr val="17365D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17365D"/>
              </a:solidFill>
              <a:ln>
                <a:solidFill>
                  <a:srgbClr val="17365D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50" b="0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Sensitivity!$C$36:$C$40</c:f>
              <c:numCache>
                <c:formatCode>0.00%_);[Red]\(0.00%\);"-"_)</c:formatCode>
                <c:ptCount val="5"/>
                <c:pt idx="0">
                  <c:v>8.7400000000000019E-2</c:v>
                </c:pt>
                <c:pt idx="1">
                  <c:v>9.240000000000001E-2</c:v>
                </c:pt>
                <c:pt idx="2">
                  <c:v>9.7400000000000014E-2</c:v>
                </c:pt>
                <c:pt idx="3">
                  <c:v>0.10240000000000002</c:v>
                </c:pt>
                <c:pt idx="4">
                  <c:v>0.10740000000000001</c:v>
                </c:pt>
              </c:numCache>
            </c:numRef>
          </c:xVal>
          <c:yVal>
            <c:numRef>
              <c:f>Sensitivity!$E$36:$E$40</c:f>
              <c:numCache>
                <c:formatCode>0.0%_);[Red]\(0.0%\);"-"_)</c:formatCode>
                <c:ptCount val="5"/>
                <c:pt idx="0">
                  <c:v>-4.718718183998459E-2</c:v>
                </c:pt>
                <c:pt idx="1">
                  <c:v>3.3257222251441884E-2</c:v>
                </c:pt>
                <c:pt idx="2">
                  <c:v>0.10164200991072639</c:v>
                </c:pt>
                <c:pt idx="3">
                  <c:v>0.16046903920699454</c:v>
                </c:pt>
                <c:pt idx="4">
                  <c:v>0.21159358704021056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42-439B-92DC-B95186F70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0.11"/>
          <c:min val="8.5000000000000006E-2"/>
        </c:scaling>
        <c:delete val="0"/>
        <c:axPos val="b"/>
        <c:title>
          <c:tx>
            <c:rich>
              <a:bodyPr/>
              <a:lstStyle/>
              <a:p>
                <a:pPr>
                  <a:defRPr sz="800" b="1">
                    <a:solidFill>
                      <a:srgbClr val="17365D"/>
                    </a:solidFill>
                    <a:latin typeface="Arial"/>
                  </a:defRPr>
                </a:pPr>
                <a:r>
                  <a:rPr lang="en-US" sz="800" b="1">
                    <a:solidFill>
                      <a:srgbClr val="17365D"/>
                    </a:solidFill>
                    <a:latin typeface="Arial"/>
                  </a:rPr>
                  <a:t>Cost of equity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ickLblPos val="low"/>
        <c:spPr>
          <a:ln w="9525">
            <a:solidFill>
              <a:srgbClr val="595959"/>
            </a:solidFill>
            <a:prstDash val="solid"/>
          </a:ln>
        </c:spPr>
        <c:txPr>
          <a:bodyPr/>
          <a:lstStyle/>
          <a:p>
            <a:pPr>
              <a:defRPr sz="800" b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20"/>
        <c:crosses val="autoZero"/>
        <c:crossBetween val="midCat"/>
        <c:majorUnit val="5.0000000000000001E-3"/>
      </c:valAx>
      <c:valAx>
        <c:axId val="20"/>
        <c:scaling>
          <c:orientation val="minMax"/>
          <c:max val="0.25"/>
          <c:min val="-0.1"/>
        </c:scaling>
        <c:delete val="0"/>
        <c:axPos val="l"/>
        <c:majorGridlines>
          <c:spPr>
            <a:ln w="6350">
              <a:solidFill>
                <a:srgbClr val="E3E3E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>
                    <a:solidFill>
                      <a:srgbClr val="17365D"/>
                    </a:solidFill>
                    <a:latin typeface="Arial"/>
                  </a:defRPr>
                </a:pPr>
                <a:r>
                  <a:rPr lang="en-US" sz="800" b="1">
                    <a:solidFill>
                      <a:srgbClr val="17365D"/>
                    </a:solidFill>
                    <a:latin typeface="Arial"/>
                  </a:rPr>
                  <a:t>Expected short return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 b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midCat"/>
        <c:majorUnit val="0.05"/>
      </c:valAx>
      <c:spPr>
        <a:noFill/>
        <a:ln>
          <a:noFill/>
          <a:prstDash val="solid"/>
        </a:ln>
      </c:spPr>
    </c:plotArea>
    <c:plotVisOnly val="1"/>
    <c:dispBlanksAs val="gap"/>
    <c:showDLblsOverMax val="1"/>
  </c:chart>
  <c:spPr>
    <a:solidFill>
      <a:srgbClr val="FFFFFF"/>
    </a:solidFill>
    <a:ln w="6350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</xdr:row>
      <xdr:rowOff>0</xdr:rowOff>
    </xdr:from>
    <xdr:ext cx="5400000" cy="2664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20</xdr:row>
      <xdr:rowOff>0</xdr:rowOff>
    </xdr:from>
    <xdr:ext cx="5400000" cy="2664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28</xdr:row>
      <xdr:rowOff>0</xdr:rowOff>
    </xdr:from>
    <xdr:ext cx="6120000" cy="309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641350</xdr:colOff>
      <xdr:row>34</xdr:row>
      <xdr:rowOff>63500</xdr:rowOff>
    </xdr:from>
    <xdr:ext cx="45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4"/>
  <sheetViews>
    <sheetView showGridLines="0" tabSelected="1" workbookViewId="0">
      <selection activeCell="B19" sqref="B19"/>
    </sheetView>
  </sheetViews>
  <sheetFormatPr defaultRowHeight="14.5" x14ac:dyDescent="0.35"/>
  <cols>
    <col min="1" max="1" width="46" customWidth="1"/>
    <col min="2" max="3" width="13" customWidth="1"/>
    <col min="4" max="4" width="17" customWidth="1"/>
    <col min="5" max="8" width="13" customWidth="1"/>
    <col min="9" max="9" width="3" customWidth="1"/>
  </cols>
  <sheetData>
    <row r="1" spans="1:8" ht="18" x14ac:dyDescent="0.35">
      <c r="A1" s="1" t="s">
        <v>675</v>
      </c>
    </row>
    <row r="2" spans="1:8" x14ac:dyDescent="0.35">
      <c r="A2" s="2" t="s">
        <v>0</v>
      </c>
    </row>
    <row r="3" spans="1:8" x14ac:dyDescent="0.35">
      <c r="A3" s="3" t="s">
        <v>1</v>
      </c>
    </row>
    <row r="5" spans="1:8" x14ac:dyDescent="0.35">
      <c r="A5" s="4" t="s">
        <v>2</v>
      </c>
      <c r="B5" s="5"/>
      <c r="C5" s="5"/>
      <c r="D5" s="5"/>
      <c r="E5" s="5"/>
      <c r="F5" s="5"/>
      <c r="G5" s="5"/>
      <c r="H5" s="5"/>
    </row>
    <row r="6" spans="1:8" x14ac:dyDescent="0.35">
      <c r="A6" s="84" t="s">
        <v>681</v>
      </c>
      <c r="B6" s="85"/>
      <c r="C6" s="85"/>
      <c r="D6" s="85"/>
      <c r="E6" s="85"/>
      <c r="F6" s="85"/>
      <c r="G6" s="85"/>
      <c r="H6" s="85"/>
    </row>
    <row r="7" spans="1:8" x14ac:dyDescent="0.35">
      <c r="A7" s="85"/>
      <c r="B7" s="85"/>
      <c r="C7" s="85"/>
      <c r="D7" s="85"/>
      <c r="E7" s="85"/>
      <c r="F7" s="85"/>
      <c r="G7" s="85"/>
      <c r="H7" s="85"/>
    </row>
    <row r="9" spans="1:8" x14ac:dyDescent="0.35">
      <c r="A9" s="4" t="s">
        <v>3</v>
      </c>
      <c r="B9" s="5"/>
      <c r="C9" s="5"/>
      <c r="D9" s="5"/>
      <c r="E9" s="5"/>
      <c r="F9" s="5"/>
      <c r="G9" s="5"/>
      <c r="H9" s="5"/>
    </row>
    <row r="10" spans="1:8" x14ac:dyDescent="0.35">
      <c r="A10" s="6" t="s">
        <v>4</v>
      </c>
      <c r="B10" s="7">
        <f>Inputs!$B$6</f>
        <v>27.29</v>
      </c>
      <c r="D10" s="8" t="s">
        <v>5</v>
      </c>
    </row>
    <row r="11" spans="1:8" x14ac:dyDescent="0.35">
      <c r="A11" s="6" t="s">
        <v>6</v>
      </c>
      <c r="B11" s="7">
        <f>Valuation!$B$53</f>
        <v>23.103868721663684</v>
      </c>
      <c r="D11" s="9" t="s">
        <v>7</v>
      </c>
      <c r="E11" s="10" t="s">
        <v>8</v>
      </c>
      <c r="F11" s="10" t="s">
        <v>9</v>
      </c>
      <c r="G11" s="10" t="s">
        <v>10</v>
      </c>
    </row>
    <row r="12" spans="1:8" x14ac:dyDescent="0.35">
      <c r="A12" s="6" t="s">
        <v>11</v>
      </c>
      <c r="B12" s="7">
        <f>Valuation!$B$50</f>
        <v>24.516189549536278</v>
      </c>
      <c r="D12" s="6" t="s">
        <v>12</v>
      </c>
      <c r="E12" s="7">
        <f>Consensus!B16</f>
        <v>0.3673904086909871</v>
      </c>
      <c r="F12" s="7">
        <f>Consensus!C16</f>
        <v>0.41</v>
      </c>
      <c r="G12" s="11">
        <f>Consensus!D16</f>
        <v>-0.10392583246100706</v>
      </c>
    </row>
    <row r="13" spans="1:8" x14ac:dyDescent="0.35">
      <c r="A13" s="12" t="s">
        <v>13</v>
      </c>
      <c r="B13" s="13">
        <f>Valuation!$B$52</f>
        <v>0.10164200991072625</v>
      </c>
      <c r="D13" s="6" t="s">
        <v>14</v>
      </c>
      <c r="E13" s="7">
        <f>Consensus!B18</f>
        <v>1.4520874243957917</v>
      </c>
      <c r="F13" s="7">
        <f>Consensus!C18</f>
        <v>1.62</v>
      </c>
      <c r="G13" s="11">
        <f>Consensus!D18</f>
        <v>-0.10364973802728905</v>
      </c>
    </row>
    <row r="14" spans="1:8" x14ac:dyDescent="0.35">
      <c r="A14" s="6" t="s">
        <v>15</v>
      </c>
      <c r="B14" s="11">
        <f>Valuation!$B$70</f>
        <v>0.10260038212093359</v>
      </c>
      <c r="D14" s="6" t="s">
        <v>16</v>
      </c>
      <c r="E14" s="7">
        <f>Consensus!B19</f>
        <v>1.4520874243957917</v>
      </c>
      <c r="F14" s="7">
        <f>Consensus!C19</f>
        <v>1.65</v>
      </c>
      <c r="G14" s="11">
        <f>Consensus!D19</f>
        <v>-0.11994701551770193</v>
      </c>
    </row>
    <row r="15" spans="1:8" x14ac:dyDescent="0.35">
      <c r="A15" s="6" t="s">
        <v>17</v>
      </c>
      <c r="B15" s="11">
        <f>Valuation!$B$55</f>
        <v>0.14696286964332783</v>
      </c>
    </row>
    <row r="16" spans="1:8" x14ac:dyDescent="0.35">
      <c r="A16" s="6" t="s">
        <v>18</v>
      </c>
      <c r="B16" s="11">
        <f>Valuation!$B$65</f>
        <v>0.47072058783665915</v>
      </c>
    </row>
    <row r="18" spans="1:8" x14ac:dyDescent="0.35">
      <c r="A18" s="4" t="s">
        <v>19</v>
      </c>
      <c r="B18" s="5"/>
      <c r="C18" s="5"/>
      <c r="D18" s="5"/>
      <c r="E18" s="5"/>
      <c r="F18" s="5"/>
      <c r="G18" s="5"/>
      <c r="H18" s="5"/>
    </row>
    <row r="19" spans="1:8" ht="25" customHeight="1" x14ac:dyDescent="0.35">
      <c r="A19" s="14" t="s">
        <v>20</v>
      </c>
      <c r="B19" s="15" t="s">
        <v>21</v>
      </c>
      <c r="C19" s="15" t="s">
        <v>22</v>
      </c>
      <c r="D19" s="15" t="s">
        <v>23</v>
      </c>
      <c r="E19" s="15" t="s">
        <v>24</v>
      </c>
      <c r="F19" s="15" t="s">
        <v>25</v>
      </c>
      <c r="G19" s="15" t="s">
        <v>26</v>
      </c>
      <c r="H19" s="15" t="s">
        <v>27</v>
      </c>
    </row>
    <row r="20" spans="1:8" x14ac:dyDescent="0.35">
      <c r="A20" s="6" t="s">
        <v>28</v>
      </c>
      <c r="B20" s="11">
        <f>Valuation!B8</f>
        <v>0.2</v>
      </c>
      <c r="C20" s="7">
        <f>Valuation!B9</f>
        <v>1.279288766857722</v>
      </c>
      <c r="D20" s="7">
        <f>Valuation!B11</f>
        <v>1.1842780372439878</v>
      </c>
      <c r="E20" s="7">
        <f>Valuation!B24</f>
        <v>1.1492473790525717</v>
      </c>
      <c r="F20" s="16">
        <f>Valuation!B40</f>
        <v>12.213675301464844</v>
      </c>
      <c r="G20" s="7">
        <f>Valuation!B42</f>
        <v>17.341255358850521</v>
      </c>
      <c r="H20" s="11">
        <f>Valuation!B44</f>
        <v>0.3645564177775551</v>
      </c>
    </row>
    <row r="21" spans="1:8" x14ac:dyDescent="0.35">
      <c r="A21" s="6" t="s">
        <v>29</v>
      </c>
      <c r="B21" s="11">
        <f>Valuation!C8</f>
        <v>0.45</v>
      </c>
      <c r="C21" s="7">
        <f>Valuation!C9</f>
        <v>1.4520874243957917</v>
      </c>
      <c r="D21" s="7">
        <f>Valuation!C11</f>
        <v>1.3829887119494397</v>
      </c>
      <c r="E21" s="7">
        <f>Valuation!C24</f>
        <v>1.3964919928314141</v>
      </c>
      <c r="F21" s="16">
        <f>Valuation!C40</f>
        <v>14.17777387429026</v>
      </c>
      <c r="G21" s="7">
        <f>Valuation!C42</f>
        <v>23.103868721663684</v>
      </c>
      <c r="H21" s="11">
        <f>Valuation!C44</f>
        <v>0.1533943304630383</v>
      </c>
    </row>
    <row r="22" spans="1:8" x14ac:dyDescent="0.35">
      <c r="A22" s="6" t="s">
        <v>30</v>
      </c>
      <c r="B22" s="11">
        <f>Valuation!D8</f>
        <v>0.2</v>
      </c>
      <c r="C22" s="7">
        <f>Valuation!D9</f>
        <v>1.6104159332072028</v>
      </c>
      <c r="D22" s="7">
        <f>Valuation!D11</f>
        <v>1.5672292379282329</v>
      </c>
      <c r="E22" s="7">
        <f>Valuation!D24</f>
        <v>1.6271084174421813</v>
      </c>
      <c r="F22" s="16">
        <f>Valuation!D40</f>
        <v>16.271690267720373</v>
      </c>
      <c r="G22" s="7">
        <f>Valuation!D42</f>
        <v>29.780525230662761</v>
      </c>
      <c r="H22" s="11">
        <f>Valuation!D44</f>
        <v>-9.1261459533263478E-2</v>
      </c>
    </row>
    <row r="23" spans="1:8" x14ac:dyDescent="0.35">
      <c r="A23" s="6" t="s">
        <v>31</v>
      </c>
      <c r="B23" s="11">
        <f>Valuation!E8</f>
        <v>0.15</v>
      </c>
      <c r="C23" s="7">
        <f>Valuation!E9</f>
        <v>1.7054338559241267</v>
      </c>
      <c r="D23" s="7">
        <f>Valuation!E11</f>
        <v>1.6622471606451568</v>
      </c>
      <c r="E23" s="7">
        <f>Valuation!E24</f>
        <v>1.697696290720264</v>
      </c>
      <c r="F23" s="16">
        <f>Valuation!E40</f>
        <v>16.49052061640894</v>
      </c>
      <c r="G23" s="7">
        <f>Valuation!E42</f>
        <v>31.300616712566416</v>
      </c>
      <c r="H23" s="11">
        <f>Valuation!E44</f>
        <v>-0.14696286964332783</v>
      </c>
    </row>
    <row r="24" spans="1:8" x14ac:dyDescent="0.35">
      <c r="A24" s="17" t="s">
        <v>32</v>
      </c>
      <c r="G24" s="18">
        <f>Valuation!$B$50</f>
        <v>24.516189549536278</v>
      </c>
      <c r="H24" s="19">
        <f>Valuation!$B$52</f>
        <v>0.10164200991072625</v>
      </c>
    </row>
    <row r="25" spans="1:8" x14ac:dyDescent="0.35">
      <c r="A25" s="20" t="s">
        <v>33</v>
      </c>
    </row>
    <row r="26" spans="1:8" x14ac:dyDescent="0.35">
      <c r="A26" s="20" t="s">
        <v>34</v>
      </c>
    </row>
    <row r="27" spans="1:8" x14ac:dyDescent="0.35">
      <c r="A27" s="4" t="s">
        <v>35</v>
      </c>
      <c r="B27" s="5"/>
      <c r="C27" s="5"/>
      <c r="D27" s="5"/>
      <c r="E27" s="5"/>
      <c r="F27" s="5"/>
      <c r="G27" s="5"/>
      <c r="H27" s="5"/>
    </row>
    <row r="28" spans="1:8" ht="28" customHeight="1" x14ac:dyDescent="0.35">
      <c r="A28" s="21" t="s">
        <v>36</v>
      </c>
      <c r="B28" s="92" t="s">
        <v>37</v>
      </c>
      <c r="C28" s="93"/>
      <c r="D28" s="93"/>
      <c r="E28" s="93"/>
      <c r="F28" s="93"/>
      <c r="G28" s="93"/>
      <c r="H28" s="94"/>
    </row>
    <row r="29" spans="1:8" ht="28" customHeight="1" x14ac:dyDescent="0.35">
      <c r="A29" s="22" t="s">
        <v>38</v>
      </c>
      <c r="B29" s="89" t="s">
        <v>39</v>
      </c>
      <c r="C29" s="90"/>
      <c r="D29" s="90"/>
      <c r="E29" s="90"/>
      <c r="F29" s="90"/>
      <c r="G29" s="90"/>
      <c r="H29" s="91"/>
    </row>
    <row r="30" spans="1:8" ht="28" customHeight="1" x14ac:dyDescent="0.35">
      <c r="A30" s="23" t="s">
        <v>40</v>
      </c>
      <c r="B30" s="86" t="s">
        <v>41</v>
      </c>
      <c r="C30" s="87"/>
      <c r="D30" s="87"/>
      <c r="E30" s="87"/>
      <c r="F30" s="87"/>
      <c r="G30" s="87"/>
      <c r="H30" s="88"/>
    </row>
    <row r="32" spans="1:8" x14ac:dyDescent="0.35">
      <c r="A32" s="81" t="s">
        <v>42</v>
      </c>
    </row>
    <row r="34" spans="1:3" x14ac:dyDescent="0.35">
      <c r="A34" s="4" t="s">
        <v>43</v>
      </c>
      <c r="B34" s="5"/>
      <c r="C34" s="5"/>
    </row>
    <row r="35" spans="1:3" ht="25" customHeight="1" x14ac:dyDescent="0.35">
      <c r="A35" s="14" t="s">
        <v>44</v>
      </c>
      <c r="B35" s="15" t="s">
        <v>45</v>
      </c>
      <c r="C35" s="15" t="s">
        <v>46</v>
      </c>
    </row>
    <row r="36" spans="1:3" x14ac:dyDescent="0.35">
      <c r="A36" s="6" t="s">
        <v>47</v>
      </c>
      <c r="B36" s="7">
        <f>Consensus!C5</f>
        <v>0.41</v>
      </c>
      <c r="C36" s="7">
        <f>EPS_Build!B46</f>
        <v>0.3673904086909871</v>
      </c>
    </row>
    <row r="37" spans="1:3" x14ac:dyDescent="0.35">
      <c r="A37" s="6" t="s">
        <v>48</v>
      </c>
      <c r="B37" s="7">
        <f>Consensus!C6</f>
        <v>0.37</v>
      </c>
      <c r="C37" s="7">
        <f>EPS_Build!C46</f>
        <v>0.33206110938841205</v>
      </c>
    </row>
    <row r="38" spans="1:3" x14ac:dyDescent="0.35">
      <c r="A38" s="6" t="s">
        <v>49</v>
      </c>
      <c r="B38" s="7">
        <f>Consensus!C7</f>
        <v>0.45</v>
      </c>
      <c r="C38" s="7">
        <f>EPS_Build!D46</f>
        <v>0.39611609087982835</v>
      </c>
    </row>
    <row r="39" spans="1:3" x14ac:dyDescent="0.35">
      <c r="A39" s="6" t="s">
        <v>50</v>
      </c>
      <c r="B39" s="7">
        <f>Consensus!C8</f>
        <v>0.41</v>
      </c>
      <c r="C39" s="7">
        <f>EPS_Build!E46</f>
        <v>0.35651981543656425</v>
      </c>
    </row>
    <row r="41" spans="1:3" x14ac:dyDescent="0.35">
      <c r="A41" s="4" t="s">
        <v>51</v>
      </c>
      <c r="B41" s="5"/>
      <c r="C41" s="5"/>
    </row>
    <row r="42" spans="1:3" x14ac:dyDescent="0.35">
      <c r="A42" s="10" t="s">
        <v>52</v>
      </c>
      <c r="B42" s="10" t="s">
        <v>53</v>
      </c>
      <c r="C42" s="10" t="s">
        <v>54</v>
      </c>
    </row>
    <row r="43" spans="1:3" x14ac:dyDescent="0.35">
      <c r="A43" s="24" t="str">
        <f>"Current price "&amp;TEXT(Inputs!$B$6,"$0.00")</f>
        <v>Current price $27.29</v>
      </c>
      <c r="B43" s="7">
        <f>Inputs!$B$6</f>
        <v>27.29</v>
      </c>
      <c r="C43" s="25">
        <v>0</v>
      </c>
    </row>
    <row r="44" spans="1:3" x14ac:dyDescent="0.35">
      <c r="A44" s="6"/>
      <c r="B44" s="7">
        <f>Inputs!$B$6</f>
        <v>27.29</v>
      </c>
      <c r="C44" s="25">
        <v>1</v>
      </c>
    </row>
  </sheetData>
  <mergeCells count="4">
    <mergeCell ref="A6:H7"/>
    <mergeCell ref="B30:H30"/>
    <mergeCell ref="B29:H29"/>
    <mergeCell ref="B28:H28"/>
  </mergeCells>
  <pageMargins left="0.75" right="0.75" top="1" bottom="1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57"/>
  <sheetViews>
    <sheetView showGridLines="0" workbookViewId="0">
      <pane ySplit="5" topLeftCell="A20" activePane="bottomLeft" state="frozen"/>
      <selection pane="bottomLeft" activeCell="E16" sqref="E16"/>
    </sheetView>
  </sheetViews>
  <sheetFormatPr defaultRowHeight="14.5" x14ac:dyDescent="0.35"/>
  <cols>
    <col min="1" max="1" width="60" customWidth="1"/>
    <col min="2" max="2" width="11" customWidth="1"/>
    <col min="3" max="3" width="10" customWidth="1"/>
    <col min="4" max="4" width="20" customWidth="1"/>
    <col min="5" max="5" width="64" customWidth="1"/>
  </cols>
  <sheetData>
    <row r="1" spans="1:5" ht="18" x14ac:dyDescent="0.35">
      <c r="A1" s="1" t="s">
        <v>55</v>
      </c>
    </row>
    <row r="2" spans="1:5" x14ac:dyDescent="0.35">
      <c r="A2" s="3" t="s">
        <v>56</v>
      </c>
    </row>
    <row r="4" spans="1:5" x14ac:dyDescent="0.35">
      <c r="A4" s="4" t="s">
        <v>57</v>
      </c>
      <c r="B4" s="5"/>
      <c r="C4" s="5"/>
      <c r="D4" s="5"/>
      <c r="E4" s="5"/>
    </row>
    <row r="5" spans="1:5" x14ac:dyDescent="0.35">
      <c r="A5" s="14" t="s">
        <v>58</v>
      </c>
      <c r="B5" s="15" t="s">
        <v>59</v>
      </c>
      <c r="C5" s="26" t="s">
        <v>60</v>
      </c>
      <c r="D5" s="14" t="s">
        <v>61</v>
      </c>
      <c r="E5" s="14" t="s">
        <v>62</v>
      </c>
    </row>
    <row r="6" spans="1:5" x14ac:dyDescent="0.35">
      <c r="A6" s="6" t="s">
        <v>63</v>
      </c>
      <c r="B6" s="27">
        <v>27.29</v>
      </c>
      <c r="C6" s="28" t="s">
        <v>677</v>
      </c>
      <c r="D6" s="6" t="s">
        <v>65</v>
      </c>
      <c r="E6" s="29" t="s">
        <v>66</v>
      </c>
    </row>
    <row r="7" spans="1:5" ht="53" customHeight="1" x14ac:dyDescent="0.35">
      <c r="A7" s="6" t="s">
        <v>67</v>
      </c>
      <c r="B7" s="30">
        <v>932</v>
      </c>
      <c r="C7" s="28" t="s">
        <v>676</v>
      </c>
      <c r="D7" s="6" t="s">
        <v>68</v>
      </c>
      <c r="E7" s="29" t="s">
        <v>69</v>
      </c>
    </row>
    <row r="8" spans="1:5" x14ac:dyDescent="0.35">
      <c r="A8" s="6" t="s">
        <v>70</v>
      </c>
      <c r="B8" s="31">
        <v>0.19500000000000001</v>
      </c>
      <c r="C8" s="28" t="s">
        <v>71</v>
      </c>
      <c r="D8" s="6" t="s">
        <v>72</v>
      </c>
      <c r="E8" s="29" t="s">
        <v>73</v>
      </c>
    </row>
    <row r="9" spans="1:5" x14ac:dyDescent="0.35">
      <c r="A9" s="6" t="s">
        <v>74</v>
      </c>
      <c r="B9" s="32">
        <v>4.49</v>
      </c>
      <c r="C9" s="28" t="s">
        <v>75</v>
      </c>
      <c r="D9" s="6" t="s">
        <v>76</v>
      </c>
      <c r="E9" s="29" t="s">
        <v>77</v>
      </c>
    </row>
    <row r="10" spans="1:5" ht="28" customHeight="1" x14ac:dyDescent="0.35">
      <c r="A10" s="6" t="s">
        <v>78</v>
      </c>
      <c r="B10" s="32">
        <v>3.08</v>
      </c>
      <c r="C10" s="28" t="s">
        <v>75</v>
      </c>
      <c r="D10" s="6" t="s">
        <v>79</v>
      </c>
      <c r="E10" s="29" t="s">
        <v>80</v>
      </c>
    </row>
    <row r="11" spans="1:5" x14ac:dyDescent="0.35">
      <c r="A11" s="6" t="s">
        <v>81</v>
      </c>
      <c r="B11" s="30">
        <v>181.9</v>
      </c>
      <c r="C11" s="28" t="s">
        <v>82</v>
      </c>
      <c r="D11" s="6" t="s">
        <v>76</v>
      </c>
      <c r="E11" s="29" t="s">
        <v>83</v>
      </c>
    </row>
    <row r="12" spans="1:5" x14ac:dyDescent="0.35">
      <c r="A12" s="6" t="s">
        <v>84</v>
      </c>
      <c r="B12" s="30">
        <v>38</v>
      </c>
      <c r="C12" s="28" t="s">
        <v>82</v>
      </c>
      <c r="D12" s="6" t="s">
        <v>79</v>
      </c>
      <c r="E12" s="29" t="s">
        <v>85</v>
      </c>
    </row>
    <row r="14" spans="1:5" x14ac:dyDescent="0.35">
      <c r="A14" s="4" t="s">
        <v>86</v>
      </c>
      <c r="B14" s="5"/>
      <c r="C14" s="5"/>
      <c r="D14" s="5"/>
      <c r="E14" s="5"/>
    </row>
    <row r="15" spans="1:5" x14ac:dyDescent="0.35">
      <c r="A15" s="14" t="s">
        <v>58</v>
      </c>
      <c r="B15" s="15" t="s">
        <v>59</v>
      </c>
      <c r="C15" s="26" t="s">
        <v>60</v>
      </c>
      <c r="D15" s="14" t="s">
        <v>61</v>
      </c>
      <c r="E15" s="14" t="s">
        <v>62</v>
      </c>
    </row>
    <row r="16" spans="1:5" ht="53" customHeight="1" x14ac:dyDescent="0.35">
      <c r="A16" s="6" t="s">
        <v>87</v>
      </c>
      <c r="B16" s="31">
        <v>0.5</v>
      </c>
      <c r="C16" s="28" t="s">
        <v>71</v>
      </c>
      <c r="D16" s="6" t="s">
        <v>79</v>
      </c>
      <c r="E16" s="29" t="s">
        <v>88</v>
      </c>
    </row>
    <row r="18" spans="1:5" x14ac:dyDescent="0.35">
      <c r="A18" s="4" t="s">
        <v>89</v>
      </c>
      <c r="B18" s="5"/>
      <c r="C18" s="5"/>
      <c r="D18" s="5"/>
      <c r="E18" s="5"/>
    </row>
    <row r="19" spans="1:5" x14ac:dyDescent="0.35">
      <c r="A19" s="14" t="s">
        <v>58</v>
      </c>
      <c r="B19" s="15" t="s">
        <v>59</v>
      </c>
      <c r="C19" s="26" t="s">
        <v>60</v>
      </c>
      <c r="D19" s="14" t="s">
        <v>61</v>
      </c>
      <c r="E19" s="14" t="s">
        <v>62</v>
      </c>
    </row>
    <row r="20" spans="1:5" ht="28" customHeight="1" x14ac:dyDescent="0.35">
      <c r="A20" s="6" t="s">
        <v>90</v>
      </c>
      <c r="B20" s="31">
        <v>-7.4999999999999997E-2</v>
      </c>
      <c r="C20" s="28" t="s">
        <v>71</v>
      </c>
      <c r="D20" s="6" t="s">
        <v>91</v>
      </c>
      <c r="E20" s="29" t="s">
        <v>92</v>
      </c>
    </row>
    <row r="21" spans="1:5" ht="28" customHeight="1" x14ac:dyDescent="0.35">
      <c r="A21" s="6" t="s">
        <v>93</v>
      </c>
      <c r="B21" s="31">
        <v>2.3E-2</v>
      </c>
      <c r="C21" s="28" t="s">
        <v>71</v>
      </c>
      <c r="D21" s="6" t="s">
        <v>91</v>
      </c>
      <c r="E21" s="29" t="s">
        <v>94</v>
      </c>
    </row>
    <row r="22" spans="1:5" ht="28" customHeight="1" x14ac:dyDescent="0.35">
      <c r="A22" s="12" t="s">
        <v>95</v>
      </c>
      <c r="B22" s="33">
        <f>B21-B20</f>
        <v>9.8000000000000004E-2</v>
      </c>
      <c r="C22" s="28" t="s">
        <v>96</v>
      </c>
      <c r="D22" s="6" t="s">
        <v>97</v>
      </c>
      <c r="E22" s="29" t="s">
        <v>98</v>
      </c>
    </row>
    <row r="23" spans="1:5" x14ac:dyDescent="0.35">
      <c r="A23" s="6" t="s">
        <v>99</v>
      </c>
      <c r="B23" s="34">
        <f>-Scenarios!$C$7</f>
        <v>0.13</v>
      </c>
      <c r="C23" s="28" t="s">
        <v>96</v>
      </c>
      <c r="D23" s="6" t="s">
        <v>79</v>
      </c>
      <c r="E23" s="29" t="s">
        <v>100</v>
      </c>
    </row>
    <row r="24" spans="1:5" ht="40.5" customHeight="1" x14ac:dyDescent="0.35">
      <c r="A24" s="6" t="s">
        <v>101</v>
      </c>
      <c r="B24" s="34">
        <f>B22/B23</f>
        <v>0.75384615384615383</v>
      </c>
      <c r="C24" s="28" t="s">
        <v>71</v>
      </c>
      <c r="D24" s="6" t="s">
        <v>97</v>
      </c>
      <c r="E24" s="29" t="s">
        <v>102</v>
      </c>
    </row>
    <row r="25" spans="1:5" ht="40.5" customHeight="1" x14ac:dyDescent="0.35">
      <c r="A25" s="6" t="s">
        <v>103</v>
      </c>
      <c r="B25" s="34">
        <f>B22/0.6</f>
        <v>0.16333333333333336</v>
      </c>
      <c r="C25" s="28" t="s">
        <v>96</v>
      </c>
      <c r="D25" s="6" t="s">
        <v>97</v>
      </c>
      <c r="E25" s="29" t="s">
        <v>104</v>
      </c>
    </row>
    <row r="27" spans="1:5" x14ac:dyDescent="0.35">
      <c r="A27" s="4" t="s">
        <v>105</v>
      </c>
      <c r="B27" s="5"/>
      <c r="C27" s="5"/>
      <c r="D27" s="5"/>
      <c r="E27" s="5"/>
    </row>
    <row r="28" spans="1:5" x14ac:dyDescent="0.35">
      <c r="A28" s="14" t="s">
        <v>58</v>
      </c>
      <c r="B28" s="15" t="s">
        <v>59</v>
      </c>
      <c r="C28" s="26" t="s">
        <v>60</v>
      </c>
      <c r="D28" s="14" t="s">
        <v>61</v>
      </c>
      <c r="E28" s="14" t="s">
        <v>62</v>
      </c>
    </row>
    <row r="29" spans="1:5" x14ac:dyDescent="0.35">
      <c r="A29" s="6" t="s">
        <v>106</v>
      </c>
      <c r="B29" s="35">
        <v>5.2400000000000002E-2</v>
      </c>
      <c r="C29" s="28" t="s">
        <v>71</v>
      </c>
      <c r="D29" s="6" t="s">
        <v>76</v>
      </c>
      <c r="E29" s="29" t="s">
        <v>107</v>
      </c>
    </row>
    <row r="30" spans="1:5" ht="28" customHeight="1" x14ac:dyDescent="0.35">
      <c r="A30" s="6" t="s">
        <v>108</v>
      </c>
      <c r="B30" s="32">
        <v>0.9</v>
      </c>
      <c r="C30" s="28" t="s">
        <v>109</v>
      </c>
      <c r="D30" s="6" t="s">
        <v>79</v>
      </c>
      <c r="E30" s="29" t="s">
        <v>110</v>
      </c>
    </row>
    <row r="31" spans="1:5" ht="28" customHeight="1" x14ac:dyDescent="0.35">
      <c r="A31" s="6" t="s">
        <v>111</v>
      </c>
      <c r="B31" s="31">
        <v>0.05</v>
      </c>
      <c r="C31" s="28" t="s">
        <v>71</v>
      </c>
      <c r="D31" s="6" t="s">
        <v>79</v>
      </c>
      <c r="E31" s="29" t="s">
        <v>112</v>
      </c>
    </row>
    <row r="32" spans="1:5" ht="28" customHeight="1" x14ac:dyDescent="0.35">
      <c r="A32" s="6" t="s">
        <v>113</v>
      </c>
      <c r="B32" s="31">
        <v>0.03</v>
      </c>
      <c r="C32" s="28" t="s">
        <v>71</v>
      </c>
      <c r="D32" s="6" t="s">
        <v>79</v>
      </c>
      <c r="E32" s="29" t="s">
        <v>114</v>
      </c>
    </row>
    <row r="33" spans="1:5" x14ac:dyDescent="0.35">
      <c r="A33" s="6" t="s">
        <v>115</v>
      </c>
      <c r="B33" s="35">
        <v>3.5000000000000003E-2</v>
      </c>
      <c r="C33" s="28" t="s">
        <v>71</v>
      </c>
      <c r="D33" s="6" t="s">
        <v>79</v>
      </c>
      <c r="E33" s="29" t="s">
        <v>116</v>
      </c>
    </row>
    <row r="34" spans="1:5" x14ac:dyDescent="0.35">
      <c r="A34" s="12" t="s">
        <v>117</v>
      </c>
      <c r="B34" s="36">
        <f>B29+B30*B31</f>
        <v>9.7400000000000014E-2</v>
      </c>
      <c r="C34" s="28" t="s">
        <v>71</v>
      </c>
      <c r="D34" s="6" t="s">
        <v>97</v>
      </c>
      <c r="E34" s="29" t="s">
        <v>118</v>
      </c>
    </row>
    <row r="35" spans="1:5" x14ac:dyDescent="0.35">
      <c r="A35" s="6" t="s">
        <v>119</v>
      </c>
      <c r="B35" s="37">
        <f>B33+B30*B31</f>
        <v>8.0000000000000016E-2</v>
      </c>
      <c r="C35" s="28" t="s">
        <v>71</v>
      </c>
      <c r="D35" s="6" t="s">
        <v>97</v>
      </c>
      <c r="E35" s="29" t="s">
        <v>120</v>
      </c>
    </row>
    <row r="37" spans="1:5" x14ac:dyDescent="0.35">
      <c r="A37" s="4" t="s">
        <v>121</v>
      </c>
      <c r="B37" s="5"/>
      <c r="C37" s="5"/>
      <c r="D37" s="5"/>
      <c r="E37" s="5"/>
    </row>
    <row r="38" spans="1:5" x14ac:dyDescent="0.35">
      <c r="A38" s="14" t="s">
        <v>58</v>
      </c>
      <c r="B38" s="15" t="s">
        <v>59</v>
      </c>
      <c r="C38" s="26" t="s">
        <v>60</v>
      </c>
      <c r="D38" s="14" t="s">
        <v>61</v>
      </c>
      <c r="E38" s="14" t="s">
        <v>62</v>
      </c>
    </row>
    <row r="39" spans="1:5" ht="28" customHeight="1" x14ac:dyDescent="0.35">
      <c r="A39" s="6" t="s">
        <v>122</v>
      </c>
      <c r="B39" s="31">
        <v>0.76</v>
      </c>
      <c r="C39" s="28" t="s">
        <v>71</v>
      </c>
      <c r="D39" s="6" t="s">
        <v>79</v>
      </c>
      <c r="E39" s="29" t="s">
        <v>123</v>
      </c>
    </row>
    <row r="40" spans="1:5" ht="28" customHeight="1" x14ac:dyDescent="0.35">
      <c r="A40" s="6" t="s">
        <v>124</v>
      </c>
      <c r="B40" s="31">
        <v>0.55000000000000004</v>
      </c>
      <c r="C40" s="28" t="s">
        <v>71</v>
      </c>
      <c r="D40" s="6" t="s">
        <v>79</v>
      </c>
      <c r="E40" s="29" t="s">
        <v>125</v>
      </c>
    </row>
    <row r="41" spans="1:5" x14ac:dyDescent="0.35">
      <c r="A41" s="6" t="s">
        <v>126</v>
      </c>
      <c r="B41" s="31">
        <v>0.03</v>
      </c>
      <c r="C41" s="28" t="s">
        <v>71</v>
      </c>
      <c r="D41" s="6" t="s">
        <v>79</v>
      </c>
      <c r="E41" s="29" t="s">
        <v>127</v>
      </c>
    </row>
    <row r="42" spans="1:5" x14ac:dyDescent="0.35">
      <c r="A42" s="6" t="s">
        <v>128</v>
      </c>
      <c r="B42" s="31">
        <v>0.05</v>
      </c>
      <c r="C42" s="28" t="s">
        <v>71</v>
      </c>
      <c r="D42" s="6" t="s">
        <v>79</v>
      </c>
      <c r="E42" s="29" t="s">
        <v>129</v>
      </c>
    </row>
    <row r="43" spans="1:5" ht="28" customHeight="1" x14ac:dyDescent="0.35">
      <c r="A43" s="6" t="s">
        <v>130</v>
      </c>
      <c r="B43" s="31">
        <v>0.1</v>
      </c>
      <c r="C43" s="28" t="s">
        <v>71</v>
      </c>
      <c r="D43" s="6" t="s">
        <v>79</v>
      </c>
      <c r="E43" s="29" t="s">
        <v>131</v>
      </c>
    </row>
    <row r="45" spans="1:5" x14ac:dyDescent="0.35">
      <c r="A45" s="4" t="s">
        <v>132</v>
      </c>
      <c r="B45" s="5"/>
      <c r="C45" s="5"/>
      <c r="D45" s="5"/>
      <c r="E45" s="5"/>
    </row>
    <row r="46" spans="1:5" x14ac:dyDescent="0.35">
      <c r="A46" s="14" t="s">
        <v>133</v>
      </c>
      <c r="B46" s="15" t="s">
        <v>134</v>
      </c>
      <c r="C46" s="15" t="s">
        <v>135</v>
      </c>
      <c r="D46" s="15" t="s">
        <v>136</v>
      </c>
      <c r="E46" s="15" t="s">
        <v>137</v>
      </c>
    </row>
    <row r="47" spans="1:5" x14ac:dyDescent="0.35">
      <c r="A47" s="6" t="s">
        <v>138</v>
      </c>
      <c r="B47" s="30">
        <v>855.5</v>
      </c>
      <c r="C47" s="30">
        <v>819.5</v>
      </c>
      <c r="D47" s="30">
        <v>895.5</v>
      </c>
      <c r="E47" s="30">
        <v>817.8</v>
      </c>
    </row>
    <row r="48" spans="1:5" x14ac:dyDescent="0.35">
      <c r="A48" s="6" t="s">
        <v>139</v>
      </c>
      <c r="B48" s="30">
        <v>97.1</v>
      </c>
      <c r="C48" s="30">
        <v>102.2</v>
      </c>
      <c r="D48" s="30">
        <v>107.4</v>
      </c>
      <c r="E48" s="30">
        <v>112.5</v>
      </c>
    </row>
    <row r="49" spans="1:5" x14ac:dyDescent="0.35">
      <c r="A49" s="6" t="s">
        <v>140</v>
      </c>
      <c r="B49" s="30">
        <v>398.5</v>
      </c>
      <c r="C49" s="30">
        <v>395.4</v>
      </c>
      <c r="D49" s="30">
        <v>419.7</v>
      </c>
      <c r="E49" s="30">
        <v>420.8</v>
      </c>
    </row>
    <row r="50" spans="1:5" x14ac:dyDescent="0.35">
      <c r="A50" s="6" t="s">
        <v>141</v>
      </c>
      <c r="B50" s="30">
        <v>90</v>
      </c>
      <c r="C50" s="30">
        <v>96.4</v>
      </c>
      <c r="D50" s="30">
        <v>99</v>
      </c>
      <c r="E50" s="30">
        <v>105.7</v>
      </c>
    </row>
    <row r="51" spans="1:5" x14ac:dyDescent="0.35">
      <c r="A51" s="6" t="s">
        <v>142</v>
      </c>
      <c r="B51" s="30">
        <v>89.2</v>
      </c>
      <c r="C51" s="30">
        <v>88.4</v>
      </c>
      <c r="D51" s="30">
        <v>93.7</v>
      </c>
      <c r="E51" s="30">
        <v>91.7</v>
      </c>
    </row>
    <row r="52" spans="1:5" x14ac:dyDescent="0.35">
      <c r="A52" s="6" t="s">
        <v>143</v>
      </c>
      <c r="B52" s="30">
        <v>55.7</v>
      </c>
      <c r="C52" s="30">
        <v>47.2</v>
      </c>
      <c r="D52" s="30">
        <v>73.8</v>
      </c>
      <c r="E52" s="30">
        <v>56.8</v>
      </c>
    </row>
    <row r="53" spans="1:5" x14ac:dyDescent="0.35">
      <c r="A53" s="6" t="s">
        <v>144</v>
      </c>
      <c r="B53" s="30">
        <v>202.4</v>
      </c>
      <c r="C53" s="30">
        <v>200.1</v>
      </c>
      <c r="D53" s="30">
        <v>234.2</v>
      </c>
      <c r="E53" s="30">
        <v>222</v>
      </c>
    </row>
    <row r="54" spans="1:5" x14ac:dyDescent="0.35">
      <c r="A54" s="6" t="s">
        <v>145</v>
      </c>
      <c r="B54" s="30">
        <v>53.5</v>
      </c>
      <c r="C54" s="30">
        <v>50</v>
      </c>
      <c r="D54" s="30">
        <v>38.799999999999997</v>
      </c>
      <c r="E54" s="30">
        <v>39.6</v>
      </c>
    </row>
    <row r="55" spans="1:5" x14ac:dyDescent="0.35">
      <c r="A55" s="6" t="s">
        <v>146</v>
      </c>
      <c r="B55" s="31">
        <v>0</v>
      </c>
      <c r="C55" s="31">
        <v>0</v>
      </c>
      <c r="D55" s="31">
        <v>0</v>
      </c>
      <c r="E55" s="38">
        <f>Inputs!$B$22</f>
        <v>9.8000000000000004E-2</v>
      </c>
    </row>
    <row r="56" spans="1:5" x14ac:dyDescent="0.35">
      <c r="A56" s="6" t="s">
        <v>147</v>
      </c>
      <c r="B56" s="27">
        <v>0.41</v>
      </c>
      <c r="C56" s="27">
        <v>0.36</v>
      </c>
      <c r="D56" s="27">
        <v>0.43</v>
      </c>
      <c r="E56" s="27">
        <v>0.35</v>
      </c>
    </row>
    <row r="57" spans="1:5" x14ac:dyDescent="0.35">
      <c r="A57" s="6" t="s">
        <v>148</v>
      </c>
      <c r="B57" s="30">
        <v>977.1</v>
      </c>
      <c r="C57" s="30">
        <v>975.1</v>
      </c>
      <c r="D57" s="30">
        <v>942.8</v>
      </c>
      <c r="E57" s="30">
        <v>932.1</v>
      </c>
    </row>
  </sheetData>
  <pageMargins left="0.75" right="0.75" top="1" bottom="1" header="0.5" footer="0.5"/>
  <pageSetup fitToHeight="0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6"/>
  <sheetViews>
    <sheetView showGridLines="0" workbookViewId="0"/>
  </sheetViews>
  <sheetFormatPr defaultRowHeight="14.5" x14ac:dyDescent="0.35"/>
  <cols>
    <col min="1" max="1" width="54" customWidth="1"/>
    <col min="2" max="5" width="24" customWidth="1"/>
  </cols>
  <sheetData>
    <row r="1" spans="1:5" ht="18" x14ac:dyDescent="0.35">
      <c r="A1" s="1" t="s">
        <v>149</v>
      </c>
    </row>
    <row r="2" spans="1:5" x14ac:dyDescent="0.35">
      <c r="A2" s="3" t="s">
        <v>150</v>
      </c>
    </row>
    <row r="4" spans="1:5" x14ac:dyDescent="0.35">
      <c r="A4" s="4" t="s">
        <v>151</v>
      </c>
      <c r="B4" s="5"/>
      <c r="C4" s="5"/>
      <c r="D4" s="5"/>
      <c r="E4" s="5"/>
    </row>
    <row r="5" spans="1:5" ht="28" customHeight="1" x14ac:dyDescent="0.35">
      <c r="A5" s="14" t="s">
        <v>152</v>
      </c>
      <c r="B5" s="15" t="s">
        <v>28</v>
      </c>
      <c r="C5" s="15" t="s">
        <v>29</v>
      </c>
      <c r="D5" s="15" t="s">
        <v>30</v>
      </c>
      <c r="E5" s="15" t="s">
        <v>31</v>
      </c>
    </row>
    <row r="6" spans="1:5" x14ac:dyDescent="0.35">
      <c r="A6" s="6" t="s">
        <v>153</v>
      </c>
      <c r="B6" s="31">
        <v>-0.02</v>
      </c>
      <c r="C6" s="31">
        <v>0.01</v>
      </c>
      <c r="D6" s="31">
        <v>0.03</v>
      </c>
      <c r="E6" s="31">
        <v>0.03</v>
      </c>
    </row>
    <row r="7" spans="1:5" x14ac:dyDescent="0.35">
      <c r="A7" s="6" t="s">
        <v>154</v>
      </c>
      <c r="B7" s="31">
        <v>-0.16</v>
      </c>
      <c r="C7" s="31">
        <v>-0.13</v>
      </c>
      <c r="D7" s="31">
        <v>-0.1</v>
      </c>
      <c r="E7" s="31">
        <v>-0.05</v>
      </c>
    </row>
    <row r="8" spans="1:5" x14ac:dyDescent="0.35">
      <c r="A8" s="6" t="s">
        <v>155</v>
      </c>
      <c r="B8" s="31">
        <v>0.02</v>
      </c>
      <c r="C8" s="31">
        <v>3.5000000000000003E-2</v>
      </c>
      <c r="D8" s="31">
        <v>0.05</v>
      </c>
      <c r="E8" s="31">
        <v>0.05</v>
      </c>
    </row>
    <row r="9" spans="1:5" x14ac:dyDescent="0.35">
      <c r="A9" s="6" t="s">
        <v>156</v>
      </c>
      <c r="B9" s="31">
        <v>0.1</v>
      </c>
      <c r="C9" s="31">
        <v>7.0000000000000007E-2</v>
      </c>
      <c r="D9" s="31">
        <v>0.04</v>
      </c>
      <c r="E9" s="31">
        <v>0.04</v>
      </c>
    </row>
    <row r="10" spans="1:5" x14ac:dyDescent="0.35">
      <c r="A10" s="6" t="s">
        <v>157</v>
      </c>
      <c r="B10" s="30">
        <v>20</v>
      </c>
      <c r="C10" s="30">
        <v>15</v>
      </c>
      <c r="D10" s="30">
        <v>10</v>
      </c>
      <c r="E10" s="30">
        <v>10</v>
      </c>
    </row>
    <row r="11" spans="1:5" x14ac:dyDescent="0.35">
      <c r="A11" s="6" t="s">
        <v>158</v>
      </c>
      <c r="B11" s="30">
        <v>-8</v>
      </c>
      <c r="C11" s="30">
        <v>-4</v>
      </c>
      <c r="D11" s="30">
        <v>0</v>
      </c>
      <c r="E11" s="30">
        <v>0</v>
      </c>
    </row>
    <row r="12" spans="1:5" x14ac:dyDescent="0.35">
      <c r="A12" s="6" t="s">
        <v>159</v>
      </c>
      <c r="B12" s="30">
        <v>22</v>
      </c>
      <c r="C12" s="30">
        <v>25</v>
      </c>
      <c r="D12" s="30">
        <v>28</v>
      </c>
      <c r="E12" s="30">
        <v>28</v>
      </c>
    </row>
    <row r="13" spans="1:5" x14ac:dyDescent="0.35">
      <c r="A13" s="6" t="s">
        <v>160</v>
      </c>
      <c r="B13" s="27">
        <v>0</v>
      </c>
      <c r="C13" s="27">
        <v>0.02</v>
      </c>
      <c r="D13" s="27">
        <v>0.04</v>
      </c>
      <c r="E13" s="27">
        <v>0.02</v>
      </c>
    </row>
    <row r="14" spans="1:5" x14ac:dyDescent="0.35">
      <c r="A14" s="6" t="s">
        <v>161</v>
      </c>
      <c r="B14" s="31">
        <v>0.2</v>
      </c>
      <c r="C14" s="31">
        <v>0.45</v>
      </c>
      <c r="D14" s="31">
        <v>0.2</v>
      </c>
      <c r="E14" s="31">
        <v>0.15</v>
      </c>
    </row>
    <row r="15" spans="1:5" x14ac:dyDescent="0.35">
      <c r="A15" s="6" t="s">
        <v>162</v>
      </c>
      <c r="B15" s="31">
        <v>0.04</v>
      </c>
      <c r="C15" s="31">
        <v>0.12</v>
      </c>
      <c r="D15" s="31">
        <v>0.18</v>
      </c>
      <c r="E15" s="31">
        <v>0.15</v>
      </c>
    </row>
    <row r="16" spans="1:5" x14ac:dyDescent="0.35">
      <c r="A16" s="6" t="s">
        <v>163</v>
      </c>
      <c r="B16" s="31">
        <v>0.03</v>
      </c>
      <c r="C16" s="31">
        <v>0.06</v>
      </c>
      <c r="D16" s="31">
        <v>0.09</v>
      </c>
      <c r="E16" s="31">
        <v>0.1</v>
      </c>
    </row>
    <row r="17" spans="1:5" x14ac:dyDescent="0.35">
      <c r="A17" s="6" t="s">
        <v>164</v>
      </c>
      <c r="B17" s="31">
        <v>0.15</v>
      </c>
      <c r="C17" s="31">
        <v>0.2</v>
      </c>
      <c r="D17" s="31">
        <v>0.25</v>
      </c>
      <c r="E17" s="31">
        <v>0.25</v>
      </c>
    </row>
    <row r="18" spans="1:5" x14ac:dyDescent="0.35">
      <c r="A18" s="39" t="s">
        <v>165</v>
      </c>
      <c r="B18" s="40">
        <f>SUM(B14:E14)</f>
        <v>1</v>
      </c>
      <c r="C18" s="41"/>
      <c r="D18" s="41"/>
      <c r="E18" s="41"/>
    </row>
    <row r="20" spans="1:5" x14ac:dyDescent="0.35">
      <c r="A20" s="4" t="s">
        <v>166</v>
      </c>
      <c r="B20" s="5"/>
      <c r="C20" s="5"/>
      <c r="D20" s="5"/>
      <c r="E20" s="5"/>
    </row>
    <row r="21" spans="1:5" ht="28" customHeight="1" x14ac:dyDescent="0.35">
      <c r="A21" s="14" t="s">
        <v>167</v>
      </c>
      <c r="B21" s="14" t="s">
        <v>28</v>
      </c>
      <c r="C21" s="14" t="s">
        <v>29</v>
      </c>
      <c r="D21" s="14" t="s">
        <v>30</v>
      </c>
      <c r="E21" s="14" t="s">
        <v>31</v>
      </c>
    </row>
    <row r="22" spans="1:5" ht="90.5" customHeight="1" x14ac:dyDescent="0.35">
      <c r="A22" s="42" t="s">
        <v>168</v>
      </c>
      <c r="B22" s="42" t="s">
        <v>169</v>
      </c>
      <c r="C22" s="42" t="s">
        <v>170</v>
      </c>
      <c r="D22" s="42" t="s">
        <v>171</v>
      </c>
      <c r="E22" s="42" t="s">
        <v>172</v>
      </c>
    </row>
    <row r="23" spans="1:5" ht="128" customHeight="1" x14ac:dyDescent="0.35">
      <c r="A23" s="42" t="s">
        <v>173</v>
      </c>
      <c r="B23" s="42" t="s">
        <v>174</v>
      </c>
      <c r="C23" s="42" t="s">
        <v>175</v>
      </c>
      <c r="D23" s="42" t="s">
        <v>176</v>
      </c>
      <c r="E23" s="42" t="s">
        <v>177</v>
      </c>
    </row>
    <row r="24" spans="1:5" ht="65.5" customHeight="1" x14ac:dyDescent="0.35">
      <c r="A24" s="42" t="s">
        <v>178</v>
      </c>
      <c r="B24" s="42" t="s">
        <v>179</v>
      </c>
      <c r="C24" s="42" t="s">
        <v>180</v>
      </c>
      <c r="D24" s="42" t="s">
        <v>181</v>
      </c>
      <c r="E24" s="42" t="s">
        <v>182</v>
      </c>
    </row>
    <row r="25" spans="1:5" ht="53" customHeight="1" x14ac:dyDescent="0.35">
      <c r="A25" s="42" t="s">
        <v>183</v>
      </c>
      <c r="B25" s="42" t="s">
        <v>184</v>
      </c>
      <c r="C25" s="42" t="s">
        <v>185</v>
      </c>
      <c r="D25" s="42" t="s">
        <v>186</v>
      </c>
      <c r="E25" s="42" t="s">
        <v>187</v>
      </c>
    </row>
    <row r="26" spans="1:5" ht="65.5" customHeight="1" x14ac:dyDescent="0.35">
      <c r="A26" s="42" t="s">
        <v>188</v>
      </c>
      <c r="B26" s="42" t="s">
        <v>189</v>
      </c>
      <c r="C26" s="42" t="s">
        <v>190</v>
      </c>
      <c r="D26" s="42" t="s">
        <v>191</v>
      </c>
      <c r="E26" s="42" t="s">
        <v>191</v>
      </c>
    </row>
  </sheetData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125"/>
  <sheetViews>
    <sheetView showGridLines="0" workbookViewId="0">
      <pane ySplit="3" topLeftCell="A111" activePane="bottomLeft" state="frozen"/>
      <selection pane="bottomLeft" activeCell="A122" sqref="A122"/>
    </sheetView>
  </sheetViews>
  <sheetFormatPr defaultRowHeight="14.5" x14ac:dyDescent="0.35"/>
  <cols>
    <col min="1" max="1" width="52" customWidth="1"/>
    <col min="2" max="6" width="12" customWidth="1"/>
    <col min="7" max="11" width="13" customWidth="1"/>
  </cols>
  <sheetData>
    <row r="1" spans="1:6" ht="18" x14ac:dyDescent="0.35">
      <c r="A1" s="1" t="s">
        <v>679</v>
      </c>
    </row>
    <row r="2" spans="1:6" ht="40.5" customHeight="1" x14ac:dyDescent="0.35">
      <c r="A2" s="95" t="s">
        <v>192</v>
      </c>
      <c r="B2" s="85"/>
      <c r="C2" s="85"/>
      <c r="D2" s="85"/>
      <c r="E2" s="85"/>
      <c r="F2" s="85"/>
    </row>
    <row r="4" spans="1:6" x14ac:dyDescent="0.35">
      <c r="A4" s="4" t="s">
        <v>28</v>
      </c>
      <c r="B4" s="5"/>
      <c r="C4" s="5"/>
      <c r="D4" s="5"/>
      <c r="E4" s="5"/>
      <c r="F4" s="5"/>
    </row>
    <row r="5" spans="1:6" x14ac:dyDescent="0.35">
      <c r="A5" s="14" t="s">
        <v>193</v>
      </c>
      <c r="B5" s="15" t="s">
        <v>134</v>
      </c>
      <c r="C5" s="15" t="s">
        <v>135</v>
      </c>
      <c r="D5" s="15" t="s">
        <v>136</v>
      </c>
      <c r="E5" s="15" t="s">
        <v>137</v>
      </c>
      <c r="F5" s="15" t="s">
        <v>194</v>
      </c>
    </row>
    <row r="6" spans="1:6" x14ac:dyDescent="0.35">
      <c r="A6" s="6" t="s">
        <v>195</v>
      </c>
      <c r="B6" s="34">
        <f>(1+Scenarios!$B$7)/(1-Inputs!B$55)-1</f>
        <v>-0.16000000000000003</v>
      </c>
      <c r="C6" s="34">
        <f>(1+Scenarios!$B$7)/(1-Inputs!C$55)-1</f>
        <v>-0.16000000000000003</v>
      </c>
      <c r="D6" s="34">
        <f>(1+Scenarios!$B$7)/(1-Inputs!D$55)-1</f>
        <v>-0.16000000000000003</v>
      </c>
      <c r="E6" s="34">
        <f>(1+Scenarios!$B$7)/(1-Inputs!E$55)-1</f>
        <v>-6.8736141906873716E-2</v>
      </c>
      <c r="F6" s="43"/>
    </row>
    <row r="7" spans="1:6" x14ac:dyDescent="0.35">
      <c r="A7" s="6" t="s">
        <v>196</v>
      </c>
      <c r="B7" s="34">
        <f>Scenarios!$B$6+B6</f>
        <v>-0.18000000000000002</v>
      </c>
      <c r="C7" s="34">
        <f>Scenarios!$B$6+C6</f>
        <v>-0.18000000000000002</v>
      </c>
      <c r="D7" s="34">
        <f>Scenarios!$B$6+D6</f>
        <v>-0.18000000000000002</v>
      </c>
      <c r="E7" s="34">
        <f>Scenarios!$B$6+E6</f>
        <v>-8.8736141906873719E-2</v>
      </c>
      <c r="F7" s="43"/>
    </row>
    <row r="8" spans="1:6" x14ac:dyDescent="0.35">
      <c r="A8" s="6" t="s">
        <v>197</v>
      </c>
      <c r="B8" s="34">
        <f>Inputs!$B$39*B7+(1-Inputs!$B$39)*Inputs!$B$41</f>
        <v>-0.12959999999999999</v>
      </c>
      <c r="C8" s="34">
        <f>Inputs!$B$39*C7+(1-Inputs!$B$39)*Inputs!$B$41</f>
        <v>-0.12959999999999999</v>
      </c>
      <c r="D8" s="34">
        <f>Inputs!$B$39*D7+(1-Inputs!$B$39)*Inputs!$B$41</f>
        <v>-0.12959999999999999</v>
      </c>
      <c r="E8" s="34">
        <f>Inputs!$B$39*E7+(1-Inputs!$B$39)*Inputs!$B$41</f>
        <v>-6.0239467849224029E-2</v>
      </c>
      <c r="F8" s="43"/>
    </row>
    <row r="9" spans="1:6" x14ac:dyDescent="0.35">
      <c r="A9" s="6" t="s">
        <v>198</v>
      </c>
      <c r="B9" s="44">
        <f>Inputs!B$47*(1+B8)*(1+Scenarios!$B$8)</f>
        <v>759.51974400000006</v>
      </c>
      <c r="C9" s="44">
        <f>Inputs!C$47*(1+C8)*(1+Scenarios!$B$8)</f>
        <v>727.55865600000004</v>
      </c>
      <c r="D9" s="44">
        <f>Inputs!D$47*(1+D8)*(1+Scenarios!$B$8)</f>
        <v>795.0320640000001</v>
      </c>
      <c r="E9" s="44">
        <f>Inputs!E$47*(1+E8)*(1+Scenarios!$B$8)</f>
        <v>783.90688645676255</v>
      </c>
      <c r="F9" s="45">
        <f>SUM(B9:E9)</f>
        <v>3066.0173504567629</v>
      </c>
    </row>
    <row r="10" spans="1:6" x14ac:dyDescent="0.35">
      <c r="A10" s="6" t="s">
        <v>199</v>
      </c>
      <c r="B10" s="44">
        <f>Inputs!B$48*(1+Inputs!$B$42)</f>
        <v>101.955</v>
      </c>
      <c r="C10" s="44">
        <f>Inputs!C$48*(1+Inputs!$B$42)</f>
        <v>107.31</v>
      </c>
      <c r="D10" s="44">
        <f>Inputs!D$48*(1+Inputs!$B$42)</f>
        <v>112.77000000000001</v>
      </c>
      <c r="E10" s="44">
        <f>Inputs!E$48*(1+Inputs!$B$42)</f>
        <v>118.125</v>
      </c>
      <c r="F10" s="45">
        <f>SUM(B10:E10)</f>
        <v>440.15999999999997</v>
      </c>
    </row>
    <row r="11" spans="1:6" x14ac:dyDescent="0.35">
      <c r="A11" s="6" t="s">
        <v>200</v>
      </c>
      <c r="B11" s="44">
        <f>(Inputs!B$48-Inputs!B$50)*(1+Inputs!$B$42)</f>
        <v>7.4549999999999947</v>
      </c>
      <c r="C11" s="44">
        <f>(Inputs!C$48-Inputs!C$50)*(1+Inputs!$B$42)</f>
        <v>6.0899999999999972</v>
      </c>
      <c r="D11" s="44">
        <f>(Inputs!D$48-Inputs!D$50)*(1+Inputs!$B$42)</f>
        <v>8.8200000000000056</v>
      </c>
      <c r="E11" s="44">
        <f>(Inputs!E$48-Inputs!E$50)*(1+Inputs!$B$42)</f>
        <v>7.139999999999997</v>
      </c>
      <c r="F11" s="43"/>
    </row>
    <row r="12" spans="1:6" x14ac:dyDescent="0.35">
      <c r="A12" s="6" t="s">
        <v>201</v>
      </c>
      <c r="B12" s="44">
        <f>Inputs!B$49*Inputs!$B$40*(1+Scenarios!$B$9)+Inputs!B$49*(1-Inputs!$B$40)*(1+B8)</f>
        <v>397.17698000000007</v>
      </c>
      <c r="C12" s="44">
        <f>Inputs!C$49*Inputs!$B$40*(1+Scenarios!$B$9)+Inputs!C$49*(1-Inputs!$B$40)*(1+C8)</f>
        <v>394.08727199999998</v>
      </c>
      <c r="D12" s="44">
        <f>Inputs!D$49*Inputs!$B$40*(1+Scenarios!$B$9)+Inputs!D$49*(1-Inputs!$B$40)*(1+D8)</f>
        <v>418.30659600000001</v>
      </c>
      <c r="E12" s="44">
        <f>Inputs!E$49*Inputs!$B$40*(1+Scenarios!$B$9)+Inputs!E$49*(1-Inputs!$B$40)*(1+E8)</f>
        <v>432.53705436807098</v>
      </c>
      <c r="F12" s="45">
        <f>SUM(B12:E12)</f>
        <v>1642.1079023680711</v>
      </c>
    </row>
    <row r="13" spans="1:6" x14ac:dyDescent="0.35">
      <c r="A13" s="6" t="s">
        <v>202</v>
      </c>
      <c r="B13" s="44">
        <f>Inputs!B$51*(1+Inputs!$B$42)</f>
        <v>93.660000000000011</v>
      </c>
      <c r="C13" s="44">
        <f>Inputs!C$51*(1+Inputs!$B$42)</f>
        <v>92.820000000000007</v>
      </c>
      <c r="D13" s="44">
        <f>Inputs!D$51*(1+Inputs!$B$42)</f>
        <v>98.385000000000005</v>
      </c>
      <c r="E13" s="44">
        <f>Inputs!E$51*(1+Inputs!$B$42)</f>
        <v>96.285000000000011</v>
      </c>
      <c r="F13" s="45">
        <f>SUM(B13:E13)</f>
        <v>381.15000000000003</v>
      </c>
    </row>
    <row r="14" spans="1:6" x14ac:dyDescent="0.35">
      <c r="A14" s="6" t="s">
        <v>203</v>
      </c>
      <c r="B14" s="44">
        <f>B9+B11-B12-B13</f>
        <v>276.137764</v>
      </c>
      <c r="C14" s="44">
        <f>C9+C11-C12-C13</f>
        <v>246.7413840000001</v>
      </c>
      <c r="D14" s="44">
        <f>D9+D11-D12-D13</f>
        <v>287.16046800000015</v>
      </c>
      <c r="E14" s="44">
        <f>E9+E11-E12-E13</f>
        <v>262.22483208869153</v>
      </c>
      <c r="F14" s="45">
        <f>SUM(B14:E14)</f>
        <v>1072.2644480886918</v>
      </c>
    </row>
    <row r="15" spans="1:6" x14ac:dyDescent="0.35">
      <c r="A15" s="6" t="s">
        <v>204</v>
      </c>
      <c r="B15" s="34">
        <f>B14/(B9+B10)</f>
        <v>0.32054075400729332</v>
      </c>
      <c r="C15" s="34">
        <f>C14/(C9+C10)</f>
        <v>0.29554515219457472</v>
      </c>
      <c r="D15" s="34">
        <f>D14/(D9+D10)</f>
        <v>0.3163249780846501</v>
      </c>
      <c r="E15" s="34">
        <f>E14/(E9+E10)</f>
        <v>0.29070461479884818</v>
      </c>
      <c r="F15" s="33">
        <f>F14/(F9+F10)</f>
        <v>0.30582150898584864</v>
      </c>
    </row>
    <row r="16" spans="1:6" x14ac:dyDescent="0.35">
      <c r="A16" s="6" t="s">
        <v>205</v>
      </c>
      <c r="B16" s="44">
        <f>Inputs!B$52*(1+Inputs!$B$43)</f>
        <v>61.27000000000001</v>
      </c>
      <c r="C16" s="44">
        <f>Inputs!C$52*(1+Inputs!$B$43)</f>
        <v>51.920000000000009</v>
      </c>
      <c r="D16" s="44">
        <f>Inputs!D$52*(1+Inputs!$B$43)</f>
        <v>81.180000000000007</v>
      </c>
      <c r="E16" s="44">
        <f>Inputs!E$52*(1+Inputs!$B$43)</f>
        <v>62.480000000000004</v>
      </c>
      <c r="F16" s="45">
        <f>SUM(B16:E16)</f>
        <v>256.85000000000002</v>
      </c>
    </row>
    <row r="17" spans="1:6" x14ac:dyDescent="0.35">
      <c r="A17" s="6" t="s">
        <v>206</v>
      </c>
      <c r="B17" s="44">
        <f>Inputs!B$53*(1+Inputs!$B$43)</f>
        <v>222.64000000000001</v>
      </c>
      <c r="C17" s="44">
        <f>Inputs!C$53*(1+Inputs!$B$43)</f>
        <v>220.11</v>
      </c>
      <c r="D17" s="44">
        <f>Inputs!D$53*(1+Inputs!$B$43)</f>
        <v>257.62</v>
      </c>
      <c r="E17" s="44">
        <f>Inputs!E$53*(1+Inputs!$B$43)</f>
        <v>244.20000000000002</v>
      </c>
      <c r="F17" s="45">
        <f>SUM(B17:E17)</f>
        <v>944.57</v>
      </c>
    </row>
    <row r="18" spans="1:6" x14ac:dyDescent="0.35">
      <c r="A18" s="6" t="s">
        <v>207</v>
      </c>
      <c r="B18" s="34">
        <f>(B14+B16)/(B9+B10+B17)</f>
        <v>0.31122883058954132</v>
      </c>
      <c r="C18" s="34">
        <f>(C14+C16)/(C9+C10+C17)</f>
        <v>0.28309708665802624</v>
      </c>
      <c r="D18" s="34">
        <f>(D14+D16)/(D9+D10+D17)</f>
        <v>0.31605757208317287</v>
      </c>
      <c r="E18" s="34">
        <f>(E14+E16)/(E9+E10+E17)</f>
        <v>0.28328022970327643</v>
      </c>
      <c r="F18" s="33">
        <f>(F14+F16)/(F9+F10+F17)</f>
        <v>0.29862725143279367</v>
      </c>
    </row>
    <row r="19" spans="1:6" x14ac:dyDescent="0.35">
      <c r="A19" s="6" t="s">
        <v>208</v>
      </c>
      <c r="B19" s="46">
        <f>(B14+B16)*(1-Inputs!$B$8)/Inputs!$B$7</f>
        <v>0.2914305257725322</v>
      </c>
      <c r="C19" s="46">
        <f>(C14+C16)*(1-Inputs!$B$8)/Inputs!$B$7</f>
        <v>0.25796396364806873</v>
      </c>
      <c r="D19" s="46">
        <f>(D14+D16)*(1-Inputs!$B$8)/Inputs!$B$7</f>
        <v>0.31814815100858385</v>
      </c>
      <c r="E19" s="46">
        <f>(E14+E16)*(1-Inputs!$B$8)/Inputs!$B$7</f>
        <v>0.28045857278046854</v>
      </c>
      <c r="F19" s="47">
        <f t="shared" ref="F19:F26" si="0">SUM(B19:E19)</f>
        <v>1.1480012132096533</v>
      </c>
    </row>
    <row r="20" spans="1:6" x14ac:dyDescent="0.35">
      <c r="A20" s="6" t="s">
        <v>209</v>
      </c>
      <c r="B20" s="44">
        <f>Inputs!$B$12</f>
        <v>38</v>
      </c>
      <c r="C20" s="44">
        <f>Inputs!$B$12</f>
        <v>38</v>
      </c>
      <c r="D20" s="44">
        <f>Inputs!$B$12</f>
        <v>38</v>
      </c>
      <c r="E20" s="44">
        <f>Inputs!$B$12</f>
        <v>38</v>
      </c>
      <c r="F20" s="45">
        <f t="shared" si="0"/>
        <v>152</v>
      </c>
    </row>
    <row r="21" spans="1:6" x14ac:dyDescent="0.35">
      <c r="A21" s="12" t="s">
        <v>210</v>
      </c>
      <c r="B21" s="47">
        <f>(B14+B16+B20)*(1-Inputs!$B$8)/Inputs!$B$7</f>
        <v>0.32425241418454936</v>
      </c>
      <c r="C21" s="47">
        <f>(C14+C16+C20)*(1-Inputs!$B$8)/Inputs!$B$7</f>
        <v>0.29078585206008589</v>
      </c>
      <c r="D21" s="47">
        <f>(D14+D16+D20)*(1-Inputs!$B$8)/Inputs!$B$7</f>
        <v>0.35097003942060095</v>
      </c>
      <c r="E21" s="47">
        <f>(E14+E16+E20)*(1-Inputs!$B$8)/Inputs!$B$7</f>
        <v>0.3132804611924857</v>
      </c>
      <c r="F21" s="47">
        <f t="shared" si="0"/>
        <v>1.279288766857722</v>
      </c>
    </row>
    <row r="22" spans="1:6" x14ac:dyDescent="0.35">
      <c r="A22" s="6" t="s">
        <v>211</v>
      </c>
      <c r="B22" s="44">
        <f>0</f>
        <v>0</v>
      </c>
      <c r="C22" s="44">
        <f>Inputs!$B$16*(Scenarios!$B$11-Scenarios!$B$10)</f>
        <v>-14</v>
      </c>
      <c r="D22" s="44">
        <f>Scenarios!$B$11-Scenarios!$B$10</f>
        <v>-28</v>
      </c>
      <c r="E22" s="44">
        <f>Scenarios!$B$11-Scenarios!$B$10</f>
        <v>-28</v>
      </c>
      <c r="F22" s="45">
        <f t="shared" si="0"/>
        <v>-70</v>
      </c>
    </row>
    <row r="23" spans="1:6" x14ac:dyDescent="0.35">
      <c r="A23" s="6" t="s">
        <v>212</v>
      </c>
      <c r="B23" s="44">
        <f>Inputs!$B$12</f>
        <v>38</v>
      </c>
      <c r="C23" s="44">
        <f>Inputs!$B$16*Scenarios!$B$12+(1-Inputs!$B$16)*Inputs!$B$12</f>
        <v>30</v>
      </c>
      <c r="D23" s="44">
        <f>Scenarios!$B$12</f>
        <v>22</v>
      </c>
      <c r="E23" s="44">
        <f>Scenarios!$B$12</f>
        <v>22</v>
      </c>
      <c r="F23" s="45">
        <f t="shared" si="0"/>
        <v>112</v>
      </c>
    </row>
    <row r="24" spans="1:6" x14ac:dyDescent="0.35">
      <c r="A24" s="12" t="s">
        <v>213</v>
      </c>
      <c r="B24" s="47">
        <f>(B14+B16+B22+B23)*(1-Inputs!$B$8)/Inputs!$B$7</f>
        <v>0.32425241418454936</v>
      </c>
      <c r="C24" s="47">
        <f>(C14+C16+C22+C23)*(1-Inputs!$B$8)/Inputs!$B$7</f>
        <v>0.27178370613733915</v>
      </c>
      <c r="D24" s="47">
        <f>(D14+D16+D22+D23)*(1-Inputs!$B$8)/Inputs!$B$7</f>
        <v>0.31296574757510737</v>
      </c>
      <c r="E24" s="47">
        <f>(E14+E16+E22+E23)*(1-Inputs!$B$8)/Inputs!$B$7</f>
        <v>0.27527616934699212</v>
      </c>
      <c r="F24" s="47">
        <f t="shared" si="0"/>
        <v>1.1842780372439878</v>
      </c>
    </row>
    <row r="25" spans="1:6" x14ac:dyDescent="0.35">
      <c r="A25" s="6" t="s">
        <v>214</v>
      </c>
      <c r="B25" s="46">
        <f>B24-B21</f>
        <v>0</v>
      </c>
      <c r="C25" s="46">
        <f>C24-C21</f>
        <v>-1.9002145922746738E-2</v>
      </c>
      <c r="D25" s="46">
        <f>D24-D21</f>
        <v>-3.8004291845493587E-2</v>
      </c>
      <c r="E25" s="46">
        <f>E24-E21</f>
        <v>-3.8004291845493587E-2</v>
      </c>
      <c r="F25" s="47">
        <f t="shared" si="0"/>
        <v>-9.5010729613733913E-2</v>
      </c>
    </row>
    <row r="26" spans="1:6" x14ac:dyDescent="0.35">
      <c r="A26" s="6" t="s">
        <v>215</v>
      </c>
      <c r="B26" s="46">
        <f>(B14+B16+B22)*(1-Inputs!$B$8)/Inputs!$B$7</f>
        <v>0.2914305257725322</v>
      </c>
      <c r="C26" s="46">
        <f>(C14+C16+C22)*(1-Inputs!$B$8)/Inputs!$B$7</f>
        <v>0.24587168896995715</v>
      </c>
      <c r="D26" s="46">
        <f>(D14+D16+D22)*(1-Inputs!$B$8)/Inputs!$B$7</f>
        <v>0.29396360165236063</v>
      </c>
      <c r="E26" s="46">
        <f>(E14+E16+E22)*(1-Inputs!$B$8)/Inputs!$B$7</f>
        <v>0.25627402342424538</v>
      </c>
      <c r="F26" s="47">
        <f t="shared" si="0"/>
        <v>1.0875398398190952</v>
      </c>
    </row>
    <row r="29" spans="1:6" x14ac:dyDescent="0.35">
      <c r="A29" s="4" t="s">
        <v>29</v>
      </c>
      <c r="B29" s="5"/>
      <c r="C29" s="5"/>
      <c r="D29" s="5"/>
      <c r="E29" s="5"/>
      <c r="F29" s="5"/>
    </row>
    <row r="30" spans="1:6" x14ac:dyDescent="0.35">
      <c r="A30" s="14" t="s">
        <v>193</v>
      </c>
      <c r="B30" s="15" t="s">
        <v>134</v>
      </c>
      <c r="C30" s="15" t="s">
        <v>135</v>
      </c>
      <c r="D30" s="15" t="s">
        <v>136</v>
      </c>
      <c r="E30" s="15" t="s">
        <v>137</v>
      </c>
      <c r="F30" s="15" t="s">
        <v>194</v>
      </c>
    </row>
    <row r="31" spans="1:6" x14ac:dyDescent="0.35">
      <c r="A31" s="6" t="s">
        <v>195</v>
      </c>
      <c r="B31" s="34">
        <f>(1+Scenarios!$C$7)/(1-Inputs!B$55)-1</f>
        <v>-0.13</v>
      </c>
      <c r="C31" s="34">
        <f>(1+Scenarios!$C$7)/(1-Inputs!C$55)-1</f>
        <v>-0.13</v>
      </c>
      <c r="D31" s="34">
        <f>(1+Scenarios!$C$7)/(1-Inputs!D$55)-1</f>
        <v>-0.13</v>
      </c>
      <c r="E31" s="34">
        <f>(1+Scenarios!$C$7)/(1-Inputs!E$55)-1</f>
        <v>-3.5476718403547713E-2</v>
      </c>
      <c r="F31" s="43"/>
    </row>
    <row r="32" spans="1:6" x14ac:dyDescent="0.35">
      <c r="A32" s="6" t="s">
        <v>196</v>
      </c>
      <c r="B32" s="34">
        <f>Scenarios!$C$6+B31</f>
        <v>-0.12000000000000001</v>
      </c>
      <c r="C32" s="34">
        <f>Scenarios!$C$6+C31</f>
        <v>-0.12000000000000001</v>
      </c>
      <c r="D32" s="34">
        <f>Scenarios!$C$6+D31</f>
        <v>-0.12000000000000001</v>
      </c>
      <c r="E32" s="34">
        <f>Scenarios!$C$6+E31</f>
        <v>-2.5476718403547712E-2</v>
      </c>
      <c r="F32" s="43"/>
    </row>
    <row r="33" spans="1:6" x14ac:dyDescent="0.35">
      <c r="A33" s="6" t="s">
        <v>197</v>
      </c>
      <c r="B33" s="34">
        <f>Inputs!$B$39*B32+(1-Inputs!$B$39)*Inputs!$B$41</f>
        <v>-8.4000000000000005E-2</v>
      </c>
      <c r="C33" s="34">
        <f>Inputs!$B$39*C32+(1-Inputs!$B$39)*Inputs!$B$41</f>
        <v>-8.4000000000000005E-2</v>
      </c>
      <c r="D33" s="34">
        <f>Inputs!$B$39*D32+(1-Inputs!$B$39)*Inputs!$B$41</f>
        <v>-8.4000000000000005E-2</v>
      </c>
      <c r="E33" s="34">
        <f>Inputs!$B$39*E32+(1-Inputs!$B$39)*Inputs!$B$41</f>
        <v>-1.2162305986696263E-2</v>
      </c>
      <c r="F33" s="43"/>
    </row>
    <row r="34" spans="1:6" x14ac:dyDescent="0.35">
      <c r="A34" s="6" t="s">
        <v>198</v>
      </c>
      <c r="B34" s="44">
        <f>Inputs!B$47*(1+B33)*(1+Scenarios!$C$8)</f>
        <v>811.06533000000002</v>
      </c>
      <c r="C34" s="44">
        <f>Inputs!C$47*(1+C33)*(1+Scenarios!$C$8)</f>
        <v>776.93516999999997</v>
      </c>
      <c r="D34" s="44">
        <f>Inputs!D$47*(1+D33)*(1+Scenarios!$C$8)</f>
        <v>848.98772999999994</v>
      </c>
      <c r="E34" s="44">
        <f>Inputs!E$47*(1+E33)*(1+Scenarios!$C$8)</f>
        <v>836.12854447982249</v>
      </c>
      <c r="F34" s="45">
        <f>SUM(B34:E34)</f>
        <v>3273.1167744798222</v>
      </c>
    </row>
    <row r="35" spans="1:6" x14ac:dyDescent="0.35">
      <c r="A35" s="6" t="s">
        <v>199</v>
      </c>
      <c r="B35" s="44">
        <f>Inputs!B$48*(1+Inputs!$B$42)</f>
        <v>101.955</v>
      </c>
      <c r="C35" s="44">
        <f>Inputs!C$48*(1+Inputs!$B$42)</f>
        <v>107.31</v>
      </c>
      <c r="D35" s="44">
        <f>Inputs!D$48*(1+Inputs!$B$42)</f>
        <v>112.77000000000001</v>
      </c>
      <c r="E35" s="44">
        <f>Inputs!E$48*(1+Inputs!$B$42)</f>
        <v>118.125</v>
      </c>
      <c r="F35" s="45">
        <f>SUM(B35:E35)</f>
        <v>440.15999999999997</v>
      </c>
    </row>
    <row r="36" spans="1:6" x14ac:dyDescent="0.35">
      <c r="A36" s="6" t="s">
        <v>200</v>
      </c>
      <c r="B36" s="44">
        <f>(Inputs!B$48-Inputs!B$50)*(1+Inputs!$B$42)</f>
        <v>7.4549999999999947</v>
      </c>
      <c r="C36" s="44">
        <f>(Inputs!C$48-Inputs!C$50)*(1+Inputs!$B$42)</f>
        <v>6.0899999999999972</v>
      </c>
      <c r="D36" s="44">
        <f>(Inputs!D$48-Inputs!D$50)*(1+Inputs!$B$42)</f>
        <v>8.8200000000000056</v>
      </c>
      <c r="E36" s="44">
        <f>(Inputs!E$48-Inputs!E$50)*(1+Inputs!$B$42)</f>
        <v>7.139999999999997</v>
      </c>
      <c r="F36" s="43"/>
    </row>
    <row r="37" spans="1:6" x14ac:dyDescent="0.35">
      <c r="A37" s="6" t="s">
        <v>201</v>
      </c>
      <c r="B37" s="44">
        <f>Inputs!B$49*Inputs!$B$40*(1+Scenarios!$C$9)+Inputs!B$49*(1-Inputs!$B$40)*(1+B33)</f>
        <v>398.77895000000001</v>
      </c>
      <c r="C37" s="44">
        <f>Inputs!C$49*Inputs!$B$40*(1+Scenarios!$C$9)+Inputs!C$49*(1-Inputs!$B$40)*(1+C33)</f>
        <v>395.67678000000001</v>
      </c>
      <c r="D37" s="44">
        <f>Inputs!D$49*Inputs!$B$40*(1+Scenarios!$C$9)+Inputs!D$49*(1-Inputs!$B$40)*(1+D33)</f>
        <v>419.99378999999999</v>
      </c>
      <c r="E37" s="44">
        <f>Inputs!E$49*Inputs!$B$40*(1+Scenarios!$C$9)+Inputs!E$49*(1-Inputs!$B$40)*(1+E33)</f>
        <v>434.69774573835923</v>
      </c>
      <c r="F37" s="45">
        <f>SUM(B37:E37)</f>
        <v>1649.1472657383592</v>
      </c>
    </row>
    <row r="38" spans="1:6" x14ac:dyDescent="0.35">
      <c r="A38" s="6" t="s">
        <v>202</v>
      </c>
      <c r="B38" s="44">
        <f>Inputs!B$51*(1+Inputs!$B$42)</f>
        <v>93.660000000000011</v>
      </c>
      <c r="C38" s="44">
        <f>Inputs!C$51*(1+Inputs!$B$42)</f>
        <v>92.820000000000007</v>
      </c>
      <c r="D38" s="44">
        <f>Inputs!D$51*(1+Inputs!$B$42)</f>
        <v>98.385000000000005</v>
      </c>
      <c r="E38" s="44">
        <f>Inputs!E$51*(1+Inputs!$B$42)</f>
        <v>96.285000000000011</v>
      </c>
      <c r="F38" s="45">
        <f>SUM(B38:E38)</f>
        <v>381.15000000000003</v>
      </c>
    </row>
    <row r="39" spans="1:6" x14ac:dyDescent="0.35">
      <c r="A39" s="6" t="s">
        <v>203</v>
      </c>
      <c r="B39" s="44">
        <f>B34+B36-B37-B38</f>
        <v>326.08138000000002</v>
      </c>
      <c r="C39" s="44">
        <f>C34+C36-C37-C38</f>
        <v>294.52839</v>
      </c>
      <c r="D39" s="44">
        <f>D34+D36-D37-D38</f>
        <v>339.42894000000001</v>
      </c>
      <c r="E39" s="44">
        <f>E34+E36-E37-E38</f>
        <v>312.28579874146322</v>
      </c>
      <c r="F39" s="45">
        <f>SUM(B39:E39)</f>
        <v>1272.3245087414632</v>
      </c>
    </row>
    <row r="40" spans="1:6" x14ac:dyDescent="0.35">
      <c r="A40" s="6" t="s">
        <v>204</v>
      </c>
      <c r="B40" s="34">
        <f>B39/(B34+B35)</f>
        <v>0.35714580419036235</v>
      </c>
      <c r="C40" s="34">
        <f>C39/(C34+C35)</f>
        <v>0.33308453355758794</v>
      </c>
      <c r="D40" s="34">
        <f>D39/(D34+D35)</f>
        <v>0.35292561672470263</v>
      </c>
      <c r="E40" s="34">
        <f>E39/(E34+E35)</f>
        <v>0.32725662959071822</v>
      </c>
      <c r="F40" s="33">
        <f>F39/(F34+F35)</f>
        <v>0.34264198065863216</v>
      </c>
    </row>
    <row r="41" spans="1:6" x14ac:dyDescent="0.35">
      <c r="A41" s="6" t="s">
        <v>205</v>
      </c>
      <c r="B41" s="44">
        <f>Inputs!B$52*(1+Inputs!$B$43)</f>
        <v>61.27000000000001</v>
      </c>
      <c r="C41" s="44">
        <f>Inputs!C$52*(1+Inputs!$B$43)</f>
        <v>51.920000000000009</v>
      </c>
      <c r="D41" s="44">
        <f>Inputs!D$52*(1+Inputs!$B$43)</f>
        <v>81.180000000000007</v>
      </c>
      <c r="E41" s="44">
        <f>Inputs!E$52*(1+Inputs!$B$43)</f>
        <v>62.480000000000004</v>
      </c>
      <c r="F41" s="45">
        <f>SUM(B41:E41)</f>
        <v>256.85000000000002</v>
      </c>
    </row>
    <row r="42" spans="1:6" x14ac:dyDescent="0.35">
      <c r="A42" s="6" t="s">
        <v>206</v>
      </c>
      <c r="B42" s="44">
        <f>Inputs!B$53*(1+Inputs!$B$43)</f>
        <v>222.64000000000001</v>
      </c>
      <c r="C42" s="44">
        <f>Inputs!C$53*(1+Inputs!$B$43)</f>
        <v>220.11</v>
      </c>
      <c r="D42" s="44">
        <f>Inputs!D$53*(1+Inputs!$B$43)</f>
        <v>257.62</v>
      </c>
      <c r="E42" s="44">
        <f>Inputs!E$53*(1+Inputs!$B$43)</f>
        <v>244.20000000000002</v>
      </c>
      <c r="F42" s="45">
        <f>SUM(B42:E42)</f>
        <v>944.57</v>
      </c>
    </row>
    <row r="43" spans="1:6" x14ac:dyDescent="0.35">
      <c r="A43" s="6" t="s">
        <v>207</v>
      </c>
      <c r="B43" s="34">
        <f>(B39+B41)/(B34+B35+B42)</f>
        <v>0.34108031227964086</v>
      </c>
      <c r="C43" s="34">
        <f>(C39+C41)/(C34+C35+C42)</f>
        <v>0.31371102287681607</v>
      </c>
      <c r="D43" s="34">
        <f>(D39+D41)/(D34+D35+D42)</f>
        <v>0.34493736407667541</v>
      </c>
      <c r="E43" s="34">
        <f>(E39+E41)/(E34+E35+E42)</f>
        <v>0.31270782290032512</v>
      </c>
      <c r="F43" s="33">
        <f>(F39+F41)/(F34+F35+F42)</f>
        <v>0.32830073267325077</v>
      </c>
    </row>
    <row r="44" spans="1:6" x14ac:dyDescent="0.35">
      <c r="A44" s="6" t="s">
        <v>208</v>
      </c>
      <c r="B44" s="46">
        <f>(B39+B41)*(1-Inputs!$B$8)/Inputs!$B$7</f>
        <v>0.33456852027896999</v>
      </c>
      <c r="C44" s="46">
        <f>(C39+C41)*(1-Inputs!$B$8)/Inputs!$B$7</f>
        <v>0.29923922097639483</v>
      </c>
      <c r="D44" s="46">
        <f>(D39+D41)*(1-Inputs!$B$8)/Inputs!$B$7</f>
        <v>0.36329420246781113</v>
      </c>
      <c r="E44" s="46">
        <f>(E39+E41)*(1-Inputs!$B$8)/Inputs!$B$7</f>
        <v>0.32369792702454714</v>
      </c>
      <c r="F44" s="47">
        <f t="shared" ref="F44:F51" si="1">SUM(B44:E44)</f>
        <v>1.3207998707477233</v>
      </c>
    </row>
    <row r="45" spans="1:6" x14ac:dyDescent="0.35">
      <c r="A45" s="6" t="s">
        <v>209</v>
      </c>
      <c r="B45" s="44">
        <f>Inputs!$B$12</f>
        <v>38</v>
      </c>
      <c r="C45" s="44">
        <f>Inputs!$B$12</f>
        <v>38</v>
      </c>
      <c r="D45" s="44">
        <f>Inputs!$B$12</f>
        <v>38</v>
      </c>
      <c r="E45" s="44">
        <f>Inputs!$B$12</f>
        <v>38</v>
      </c>
      <c r="F45" s="45">
        <f t="shared" si="1"/>
        <v>152</v>
      </c>
    </row>
    <row r="46" spans="1:6" x14ac:dyDescent="0.35">
      <c r="A46" s="12" t="s">
        <v>210</v>
      </c>
      <c r="B46" s="47">
        <f>(B39+B41+B45)*(1-Inputs!$B$8)/Inputs!$B$7</f>
        <v>0.3673904086909871</v>
      </c>
      <c r="C46" s="47">
        <f>(C39+C41+C45)*(1-Inputs!$B$8)/Inputs!$B$7</f>
        <v>0.33206110938841205</v>
      </c>
      <c r="D46" s="47">
        <f>(D39+D41+D45)*(1-Inputs!$B$8)/Inputs!$B$7</f>
        <v>0.39611609087982835</v>
      </c>
      <c r="E46" s="47">
        <f>(E39+E41+E45)*(1-Inputs!$B$8)/Inputs!$B$7</f>
        <v>0.35651981543656425</v>
      </c>
      <c r="F46" s="47">
        <f t="shared" si="1"/>
        <v>1.4520874243957917</v>
      </c>
    </row>
    <row r="47" spans="1:6" x14ac:dyDescent="0.35">
      <c r="A47" s="6" t="s">
        <v>211</v>
      </c>
      <c r="B47" s="44">
        <f>0</f>
        <v>0</v>
      </c>
      <c r="C47" s="44">
        <f>Inputs!$B$16*(Scenarios!$C$11-Scenarios!$C$10)</f>
        <v>-9.5</v>
      </c>
      <c r="D47" s="44">
        <f>Scenarios!$C$11-Scenarios!$C$10</f>
        <v>-19</v>
      </c>
      <c r="E47" s="44">
        <f>Scenarios!$C$11-Scenarios!$C$10</f>
        <v>-19</v>
      </c>
      <c r="F47" s="45">
        <f t="shared" si="1"/>
        <v>-47.5</v>
      </c>
    </row>
    <row r="48" spans="1:6" x14ac:dyDescent="0.35">
      <c r="A48" s="6" t="s">
        <v>212</v>
      </c>
      <c r="B48" s="44">
        <f>Inputs!$B$12</f>
        <v>38</v>
      </c>
      <c r="C48" s="44">
        <f>Inputs!$B$16*Scenarios!$C$12+(1-Inputs!$B$16)*Inputs!$B$12</f>
        <v>31.5</v>
      </c>
      <c r="D48" s="44">
        <f>Scenarios!$C$12</f>
        <v>25</v>
      </c>
      <c r="E48" s="44">
        <f>Scenarios!$C$12</f>
        <v>25</v>
      </c>
      <c r="F48" s="45">
        <f t="shared" si="1"/>
        <v>119.5</v>
      </c>
    </row>
    <row r="49" spans="1:6" x14ac:dyDescent="0.35">
      <c r="A49" s="12" t="s">
        <v>213</v>
      </c>
      <c r="B49" s="47">
        <f>(B39+B41+B47+B48)*(1-Inputs!$B$8)/Inputs!$B$7</f>
        <v>0.3673904086909871</v>
      </c>
      <c r="C49" s="47">
        <f>(C39+C41+C47+C48)*(1-Inputs!$B$8)/Inputs!$B$7</f>
        <v>0.31824136689914168</v>
      </c>
      <c r="D49" s="47">
        <f>(D39+D41+D47+D48)*(1-Inputs!$B$8)/Inputs!$B$7</f>
        <v>0.3684766059012875</v>
      </c>
      <c r="E49" s="47">
        <f>(E39+E41+E47+E48)*(1-Inputs!$B$8)/Inputs!$B$7</f>
        <v>0.32888033045802351</v>
      </c>
      <c r="F49" s="47">
        <f t="shared" si="1"/>
        <v>1.3829887119494397</v>
      </c>
    </row>
    <row r="50" spans="1:6" x14ac:dyDescent="0.35">
      <c r="A50" s="6" t="s">
        <v>214</v>
      </c>
      <c r="B50" s="46">
        <f>B49-B46</f>
        <v>0</v>
      </c>
      <c r="C50" s="46">
        <f>C49-C46</f>
        <v>-1.381974248927037E-2</v>
      </c>
      <c r="D50" s="46">
        <f>D49-D46</f>
        <v>-2.7639484978540851E-2</v>
      </c>
      <c r="E50" s="46">
        <f>E49-E46</f>
        <v>-2.763948497854074E-2</v>
      </c>
      <c r="F50" s="47">
        <f t="shared" si="1"/>
        <v>-6.9098712446351962E-2</v>
      </c>
    </row>
    <row r="51" spans="1:6" x14ac:dyDescent="0.35">
      <c r="A51" s="6" t="s">
        <v>215</v>
      </c>
      <c r="B51" s="46">
        <f>(B39+B41+B47)*(1-Inputs!$B$8)/Inputs!$B$7</f>
        <v>0.33456852027896999</v>
      </c>
      <c r="C51" s="46">
        <f>(C39+C41+C47)*(1-Inputs!$B$8)/Inputs!$B$7</f>
        <v>0.29103374887339056</v>
      </c>
      <c r="D51" s="46">
        <f>(D39+D41+D47)*(1-Inputs!$B$8)/Inputs!$B$7</f>
        <v>0.34688325826180255</v>
      </c>
      <c r="E51" s="46">
        <f>(E39+E41+E47)*(1-Inputs!$B$8)/Inputs!$B$7</f>
        <v>0.3072869828185385</v>
      </c>
      <c r="F51" s="47">
        <f t="shared" si="1"/>
        <v>1.2797725102327018</v>
      </c>
    </row>
    <row r="54" spans="1:6" x14ac:dyDescent="0.35">
      <c r="A54" s="4" t="s">
        <v>30</v>
      </c>
      <c r="B54" s="5"/>
      <c r="C54" s="5"/>
      <c r="D54" s="5"/>
      <c r="E54" s="5"/>
      <c r="F54" s="5"/>
    </row>
    <row r="55" spans="1:6" x14ac:dyDescent="0.35">
      <c r="A55" s="14" t="s">
        <v>193</v>
      </c>
      <c r="B55" s="15" t="s">
        <v>134</v>
      </c>
      <c r="C55" s="15" t="s">
        <v>135</v>
      </c>
      <c r="D55" s="15" t="s">
        <v>136</v>
      </c>
      <c r="E55" s="15" t="s">
        <v>137</v>
      </c>
      <c r="F55" s="15" t="s">
        <v>194</v>
      </c>
    </row>
    <row r="56" spans="1:6" x14ac:dyDescent="0.35">
      <c r="A56" s="6" t="s">
        <v>195</v>
      </c>
      <c r="B56" s="34">
        <f>(1+Scenarios!$D$7)/(1-Inputs!B$55)-1</f>
        <v>-9.9999999999999978E-2</v>
      </c>
      <c r="C56" s="34">
        <f>(1+Scenarios!$D$7)/(1-Inputs!C$55)-1</f>
        <v>-9.9999999999999978E-2</v>
      </c>
      <c r="D56" s="34">
        <f>(1+Scenarios!$D$7)/(1-Inputs!D$55)-1</f>
        <v>-9.9999999999999978E-2</v>
      </c>
      <c r="E56" s="34">
        <f>(1+Scenarios!$D$7)/(1-Inputs!E$55)-1</f>
        <v>-2.2172949002217113E-3</v>
      </c>
      <c r="F56" s="43"/>
    </row>
    <row r="57" spans="1:6" x14ac:dyDescent="0.35">
      <c r="A57" s="6" t="s">
        <v>196</v>
      </c>
      <c r="B57" s="34">
        <f>Scenarios!$D$6+B56</f>
        <v>-6.9999999999999979E-2</v>
      </c>
      <c r="C57" s="34">
        <f>Scenarios!$D$6+C56</f>
        <v>-6.9999999999999979E-2</v>
      </c>
      <c r="D57" s="34">
        <f>Scenarios!$D$6+D56</f>
        <v>-6.9999999999999979E-2</v>
      </c>
      <c r="E57" s="34">
        <f>Scenarios!$D$6+E56</f>
        <v>2.7782705099778288E-2</v>
      </c>
      <c r="F57" s="43"/>
    </row>
    <row r="58" spans="1:6" x14ac:dyDescent="0.35">
      <c r="A58" s="6" t="s">
        <v>197</v>
      </c>
      <c r="B58" s="34">
        <f>Inputs!$B$39*B57+(1-Inputs!$B$39)*Inputs!$B$41</f>
        <v>-4.5999999999999985E-2</v>
      </c>
      <c r="C58" s="34">
        <f>Inputs!$B$39*C57+(1-Inputs!$B$39)*Inputs!$B$41</f>
        <v>-4.5999999999999985E-2</v>
      </c>
      <c r="D58" s="34">
        <f>Inputs!$B$39*D57+(1-Inputs!$B$39)*Inputs!$B$41</f>
        <v>-4.5999999999999985E-2</v>
      </c>
      <c r="E58" s="34">
        <f>Inputs!$B$39*E57+(1-Inputs!$B$39)*Inputs!$B$41</f>
        <v>2.8314855875831497E-2</v>
      </c>
      <c r="F58" s="43"/>
    </row>
    <row r="59" spans="1:6" x14ac:dyDescent="0.35">
      <c r="A59" s="6" t="s">
        <v>198</v>
      </c>
      <c r="B59" s="44">
        <f>Inputs!B$47*(1+B58)*(1+Scenarios!$D$8)</f>
        <v>856.95434999999998</v>
      </c>
      <c r="C59" s="44">
        <f>Inputs!C$47*(1+C58)*(1+Scenarios!$D$8)</f>
        <v>820.89314999999999</v>
      </c>
      <c r="D59" s="44">
        <f>Inputs!D$47*(1+D58)*(1+Scenarios!$D$8)</f>
        <v>897.02235000000007</v>
      </c>
      <c r="E59" s="44">
        <f>Inputs!E$47*(1+E58)*(1+Scenarios!$D$8)</f>
        <v>883.00368359201764</v>
      </c>
      <c r="F59" s="45">
        <f>SUM(B59:E59)</f>
        <v>3457.8735335920178</v>
      </c>
    </row>
    <row r="60" spans="1:6" x14ac:dyDescent="0.35">
      <c r="A60" s="6" t="s">
        <v>199</v>
      </c>
      <c r="B60" s="44">
        <f>Inputs!B$48*(1+Inputs!$B$42)</f>
        <v>101.955</v>
      </c>
      <c r="C60" s="44">
        <f>Inputs!C$48*(1+Inputs!$B$42)</f>
        <v>107.31</v>
      </c>
      <c r="D60" s="44">
        <f>Inputs!D$48*(1+Inputs!$B$42)</f>
        <v>112.77000000000001</v>
      </c>
      <c r="E60" s="44">
        <f>Inputs!E$48*(1+Inputs!$B$42)</f>
        <v>118.125</v>
      </c>
      <c r="F60" s="45">
        <f>SUM(B60:E60)</f>
        <v>440.15999999999997</v>
      </c>
    </row>
    <row r="61" spans="1:6" x14ac:dyDescent="0.35">
      <c r="A61" s="6" t="s">
        <v>200</v>
      </c>
      <c r="B61" s="44">
        <f>(Inputs!B$48-Inputs!B$50)*(1+Inputs!$B$42)</f>
        <v>7.4549999999999947</v>
      </c>
      <c r="C61" s="44">
        <f>(Inputs!C$48-Inputs!C$50)*(1+Inputs!$B$42)</f>
        <v>6.0899999999999972</v>
      </c>
      <c r="D61" s="44">
        <f>(Inputs!D$48-Inputs!D$50)*(1+Inputs!$B$42)</f>
        <v>8.8200000000000056</v>
      </c>
      <c r="E61" s="44">
        <f>(Inputs!E$48-Inputs!E$50)*(1+Inputs!$B$42)</f>
        <v>7.139999999999997</v>
      </c>
      <c r="F61" s="43"/>
    </row>
    <row r="62" spans="1:6" x14ac:dyDescent="0.35">
      <c r="A62" s="6" t="s">
        <v>201</v>
      </c>
      <c r="B62" s="44">
        <f>Inputs!B$49*Inputs!$B$40*(1+Scenarios!$D$9)+Inputs!B$49*(1-Inputs!$B$40)*(1+B58)</f>
        <v>399.01805000000002</v>
      </c>
      <c r="C62" s="44">
        <f>Inputs!C$49*Inputs!$B$40*(1+Scenarios!$D$9)+Inputs!C$49*(1-Inputs!$B$40)*(1+C58)</f>
        <v>395.91401999999994</v>
      </c>
      <c r="D62" s="44">
        <f>Inputs!D$49*Inputs!$B$40*(1+Scenarios!$D$9)+Inputs!D$49*(1-Inputs!$B$40)*(1+D58)</f>
        <v>420.24561</v>
      </c>
      <c r="E62" s="44">
        <f>Inputs!E$49*Inputs!$B$40*(1+Scenarios!$D$9)+Inputs!E$49*(1-Inputs!$B$40)*(1+E58)</f>
        <v>435.41930110864746</v>
      </c>
      <c r="F62" s="45">
        <f>SUM(B62:E62)</f>
        <v>1650.5969811086475</v>
      </c>
    </row>
    <row r="63" spans="1:6" x14ac:dyDescent="0.35">
      <c r="A63" s="6" t="s">
        <v>202</v>
      </c>
      <c r="B63" s="44">
        <f>Inputs!B$51*(1+Inputs!$B$42)</f>
        <v>93.660000000000011</v>
      </c>
      <c r="C63" s="44">
        <f>Inputs!C$51*(1+Inputs!$B$42)</f>
        <v>92.820000000000007</v>
      </c>
      <c r="D63" s="44">
        <f>Inputs!D$51*(1+Inputs!$B$42)</f>
        <v>98.385000000000005</v>
      </c>
      <c r="E63" s="44">
        <f>Inputs!E$51*(1+Inputs!$B$42)</f>
        <v>96.285000000000011</v>
      </c>
      <c r="F63" s="45">
        <f>SUM(B63:E63)</f>
        <v>381.15000000000003</v>
      </c>
    </row>
    <row r="64" spans="1:6" x14ac:dyDescent="0.35">
      <c r="A64" s="6" t="s">
        <v>203</v>
      </c>
      <c r="B64" s="44">
        <f>B59+B61-B62-B63</f>
        <v>371.73129999999998</v>
      </c>
      <c r="C64" s="44">
        <f>C59+C61-C62-C63</f>
        <v>338.24913000000009</v>
      </c>
      <c r="D64" s="44">
        <f>D59+D61-D62-D63</f>
        <v>387.21174000000013</v>
      </c>
      <c r="E64" s="44">
        <f>E59+E61-E62-E63</f>
        <v>358.43938248337014</v>
      </c>
      <c r="F64" s="45">
        <f>SUM(B64:E64)</f>
        <v>1455.6315524833703</v>
      </c>
    </row>
    <row r="65" spans="1:6" x14ac:dyDescent="0.35">
      <c r="A65" s="6" t="s">
        <v>204</v>
      </c>
      <c r="B65" s="34">
        <f>B64/(B59+B60)</f>
        <v>0.38766052286381397</v>
      </c>
      <c r="C65" s="34">
        <f>C64/(C59+C60)</f>
        <v>0.36441282277484199</v>
      </c>
      <c r="D65" s="34">
        <f>D64/(D59+D60)</f>
        <v>0.38345679683550793</v>
      </c>
      <c r="E65" s="34">
        <f>E64/(E59+E60)</f>
        <v>0.35803527394430568</v>
      </c>
      <c r="F65" s="33">
        <f>F64/(F59+F60)</f>
        <v>0.3734271498536888</v>
      </c>
    </row>
    <row r="66" spans="1:6" x14ac:dyDescent="0.35">
      <c r="A66" s="6" t="s">
        <v>205</v>
      </c>
      <c r="B66" s="44">
        <f>Inputs!B$52*(1+Inputs!$B$43)</f>
        <v>61.27000000000001</v>
      </c>
      <c r="C66" s="44">
        <f>Inputs!C$52*(1+Inputs!$B$43)</f>
        <v>51.920000000000009</v>
      </c>
      <c r="D66" s="44">
        <f>Inputs!D$52*(1+Inputs!$B$43)</f>
        <v>81.180000000000007</v>
      </c>
      <c r="E66" s="44">
        <f>Inputs!E$52*(1+Inputs!$B$43)</f>
        <v>62.480000000000004</v>
      </c>
      <c r="F66" s="45">
        <f>SUM(B66:E66)</f>
        <v>256.85000000000002</v>
      </c>
    </row>
    <row r="67" spans="1:6" x14ac:dyDescent="0.35">
      <c r="A67" s="6" t="s">
        <v>206</v>
      </c>
      <c r="B67" s="44">
        <f>Inputs!B$53*(1+Inputs!$B$43)</f>
        <v>222.64000000000001</v>
      </c>
      <c r="C67" s="44">
        <f>Inputs!C$53*(1+Inputs!$B$43)</f>
        <v>220.11</v>
      </c>
      <c r="D67" s="44">
        <f>Inputs!D$53*(1+Inputs!$B$43)</f>
        <v>257.62</v>
      </c>
      <c r="E67" s="44">
        <f>Inputs!E$53*(1+Inputs!$B$43)</f>
        <v>244.20000000000002</v>
      </c>
      <c r="F67" s="45">
        <f>SUM(B67:E67)</f>
        <v>944.57</v>
      </c>
    </row>
    <row r="68" spans="1:6" x14ac:dyDescent="0.35">
      <c r="A68" s="6" t="s">
        <v>207</v>
      </c>
      <c r="B68" s="34">
        <f>(B64+B66)/(B59+B60+B67)</f>
        <v>0.36646907723321082</v>
      </c>
      <c r="C68" s="34">
        <f>(C64+C66)/(C59+C60+C67)</f>
        <v>0.33977589649652634</v>
      </c>
      <c r="D68" s="34">
        <f>(D64+D66)/(D59+D60+D67)</f>
        <v>0.36956539045875647</v>
      </c>
      <c r="E68" s="34">
        <f>(E64+E66)/(E59+E60+E67)</f>
        <v>0.33799862480423493</v>
      </c>
      <c r="F68" s="33">
        <f>(F64+F66)/(F59+F60+F67)</f>
        <v>0.35362827879761016</v>
      </c>
    </row>
    <row r="69" spans="1:6" x14ac:dyDescent="0.35">
      <c r="A69" s="6" t="s">
        <v>208</v>
      </c>
      <c r="B69" s="46">
        <f>(B64+B66)*(1-Inputs!$B$8)/Inputs!$B$7</f>
        <v>0.37399790396995702</v>
      </c>
      <c r="C69" s="46">
        <f>(C64+C66)*(1-Inputs!$B$8)/Inputs!$B$7</f>
        <v>0.33700230649141633</v>
      </c>
      <c r="D69" s="46">
        <f>(D64+D66)*(1-Inputs!$B$8)/Inputs!$B$7</f>
        <v>0.40456582693133053</v>
      </c>
      <c r="E69" s="46">
        <f>(E64+E66)*(1-Inputs!$B$8)/Inputs!$B$7</f>
        <v>0.36356234216643019</v>
      </c>
      <c r="F69" s="47">
        <f t="shared" ref="F69:F76" si="2">SUM(B69:E69)</f>
        <v>1.4791283795591341</v>
      </c>
    </row>
    <row r="70" spans="1:6" x14ac:dyDescent="0.35">
      <c r="A70" s="6" t="s">
        <v>209</v>
      </c>
      <c r="B70" s="44">
        <f>Inputs!$B$12</f>
        <v>38</v>
      </c>
      <c r="C70" s="44">
        <f>Inputs!$B$12</f>
        <v>38</v>
      </c>
      <c r="D70" s="44">
        <f>Inputs!$B$12</f>
        <v>38</v>
      </c>
      <c r="E70" s="44">
        <f>Inputs!$B$12</f>
        <v>38</v>
      </c>
      <c r="F70" s="45">
        <f t="shared" si="2"/>
        <v>152</v>
      </c>
    </row>
    <row r="71" spans="1:6" x14ac:dyDescent="0.35">
      <c r="A71" s="12" t="s">
        <v>210</v>
      </c>
      <c r="B71" s="47">
        <f>(B64+B66+B70)*(1-Inputs!$B$8)/Inputs!$B$7</f>
        <v>0.40681979238197424</v>
      </c>
      <c r="C71" s="47">
        <f>(C64+C66+C70)*(1-Inputs!$B$8)/Inputs!$B$7</f>
        <v>0.36982419490343355</v>
      </c>
      <c r="D71" s="47">
        <f>(D64+D66+D70)*(1-Inputs!$B$8)/Inputs!$B$7</f>
        <v>0.43738771534334775</v>
      </c>
      <c r="E71" s="47">
        <f>(E64+E66+E70)*(1-Inputs!$B$8)/Inputs!$B$7</f>
        <v>0.39638423057844741</v>
      </c>
      <c r="F71" s="47">
        <f t="shared" si="2"/>
        <v>1.6104159332072028</v>
      </c>
    </row>
    <row r="72" spans="1:6" x14ac:dyDescent="0.35">
      <c r="A72" s="6" t="s">
        <v>211</v>
      </c>
      <c r="B72" s="44">
        <f>0</f>
        <v>0</v>
      </c>
      <c r="C72" s="44">
        <f>Inputs!$B$16*(Scenarios!$D$11-Scenarios!$D$10)</f>
        <v>-5</v>
      </c>
      <c r="D72" s="44">
        <f>Scenarios!$D$11-Scenarios!$D$10</f>
        <v>-10</v>
      </c>
      <c r="E72" s="44">
        <f>Scenarios!$D$11-Scenarios!$D$10</f>
        <v>-10</v>
      </c>
      <c r="F72" s="45">
        <f t="shared" si="2"/>
        <v>-25</v>
      </c>
    </row>
    <row r="73" spans="1:6" x14ac:dyDescent="0.35">
      <c r="A73" s="6" t="s">
        <v>212</v>
      </c>
      <c r="B73" s="44">
        <f>Inputs!$B$12</f>
        <v>38</v>
      </c>
      <c r="C73" s="44">
        <f>Inputs!$B$16*Scenarios!$D$12+(1-Inputs!$B$16)*Inputs!$B$12</f>
        <v>33</v>
      </c>
      <c r="D73" s="44">
        <f>Scenarios!$D$12</f>
        <v>28</v>
      </c>
      <c r="E73" s="44">
        <f>Scenarios!$D$12</f>
        <v>28</v>
      </c>
      <c r="F73" s="45">
        <f t="shared" si="2"/>
        <v>127</v>
      </c>
    </row>
    <row r="74" spans="1:6" x14ac:dyDescent="0.35">
      <c r="A74" s="12" t="s">
        <v>213</v>
      </c>
      <c r="B74" s="47">
        <f>(B64+B66+B72+B73)*(1-Inputs!$B$8)/Inputs!$B$7</f>
        <v>0.40681979238197424</v>
      </c>
      <c r="C74" s="47">
        <f>(C64+C66+C72+C73)*(1-Inputs!$B$8)/Inputs!$B$7</f>
        <v>0.36118685584763954</v>
      </c>
      <c r="D74" s="47">
        <f>(D64+D66+D72+D73)*(1-Inputs!$B$8)/Inputs!$B$7</f>
        <v>0.42011303723175975</v>
      </c>
      <c r="E74" s="47">
        <f>(E64+E66+E72+E73)*(1-Inputs!$B$8)/Inputs!$B$7</f>
        <v>0.3791095524668594</v>
      </c>
      <c r="F74" s="47">
        <f t="shared" si="2"/>
        <v>1.5672292379282329</v>
      </c>
    </row>
    <row r="75" spans="1:6" x14ac:dyDescent="0.35">
      <c r="A75" s="6" t="s">
        <v>214</v>
      </c>
      <c r="B75" s="46">
        <f>B74-B71</f>
        <v>0</v>
      </c>
      <c r="C75" s="46">
        <f>C74-C71</f>
        <v>-8.6373390557940022E-3</v>
      </c>
      <c r="D75" s="46">
        <f>D74-D71</f>
        <v>-1.7274678111588004E-2</v>
      </c>
      <c r="E75" s="46">
        <f>E74-E71</f>
        <v>-1.7274678111588004E-2</v>
      </c>
      <c r="F75" s="47">
        <f t="shared" si="2"/>
        <v>-4.3186695278970011E-2</v>
      </c>
    </row>
    <row r="76" spans="1:6" x14ac:dyDescent="0.35">
      <c r="A76" s="6" t="s">
        <v>215</v>
      </c>
      <c r="B76" s="46">
        <f>(B64+B66+B72)*(1-Inputs!$B$8)/Inputs!$B$7</f>
        <v>0.37399790396995702</v>
      </c>
      <c r="C76" s="46">
        <f>(C64+C66+C72)*(1-Inputs!$B$8)/Inputs!$B$7</f>
        <v>0.33268363696351938</v>
      </c>
      <c r="D76" s="46">
        <f>(D64+D66+D72)*(1-Inputs!$B$8)/Inputs!$B$7</f>
        <v>0.39592848787553653</v>
      </c>
      <c r="E76" s="46">
        <f>(E64+E66+E72)*(1-Inputs!$B$8)/Inputs!$B$7</f>
        <v>0.35492500311063618</v>
      </c>
      <c r="F76" s="47">
        <f t="shared" si="2"/>
        <v>1.4575350319196489</v>
      </c>
    </row>
    <row r="79" spans="1:6" x14ac:dyDescent="0.35">
      <c r="A79" s="4" t="s">
        <v>31</v>
      </c>
      <c r="B79" s="5"/>
      <c r="C79" s="5"/>
      <c r="D79" s="5"/>
      <c r="E79" s="5"/>
      <c r="F79" s="5"/>
    </row>
    <row r="80" spans="1:6" x14ac:dyDescent="0.35">
      <c r="A80" s="14" t="s">
        <v>193</v>
      </c>
      <c r="B80" s="15" t="s">
        <v>134</v>
      </c>
      <c r="C80" s="15" t="s">
        <v>135</v>
      </c>
      <c r="D80" s="15" t="s">
        <v>136</v>
      </c>
      <c r="E80" s="15" t="s">
        <v>137</v>
      </c>
      <c r="F80" s="15" t="s">
        <v>194</v>
      </c>
    </row>
    <row r="81" spans="1:6" x14ac:dyDescent="0.35">
      <c r="A81" s="6" t="s">
        <v>195</v>
      </c>
      <c r="B81" s="34">
        <f>(1+Scenarios!$E$7)/(1-Inputs!B$55)-1</f>
        <v>-5.0000000000000044E-2</v>
      </c>
      <c r="C81" s="34">
        <f>(1+Scenarios!$E$7)/(1-Inputs!C$55)-1</f>
        <v>-5.0000000000000044E-2</v>
      </c>
      <c r="D81" s="34">
        <f>(1+Scenarios!$E$7)/(1-Inputs!D$55)-1</f>
        <v>-5.0000000000000044E-2</v>
      </c>
      <c r="E81" s="34">
        <f>(1+Scenarios!$E$7)/(1-Inputs!E$55)-1</f>
        <v>5.3215077605321515E-2</v>
      </c>
      <c r="F81" s="43"/>
    </row>
    <row r="82" spans="1:6" x14ac:dyDescent="0.35">
      <c r="A82" s="6" t="s">
        <v>196</v>
      </c>
      <c r="B82" s="34">
        <f>Scenarios!$E$6+B81</f>
        <v>-2.0000000000000046E-2</v>
      </c>
      <c r="C82" s="34">
        <f>Scenarios!$E$6+C81</f>
        <v>-2.0000000000000046E-2</v>
      </c>
      <c r="D82" s="34">
        <f>Scenarios!$E$6+D81</f>
        <v>-2.0000000000000046E-2</v>
      </c>
      <c r="E82" s="34">
        <f>Scenarios!$E$6+E81</f>
        <v>8.3215077605321514E-2</v>
      </c>
      <c r="F82" s="43"/>
    </row>
    <row r="83" spans="1:6" x14ac:dyDescent="0.35">
      <c r="A83" s="6" t="s">
        <v>197</v>
      </c>
      <c r="B83" s="34">
        <f>Inputs!$B$39*B82+(1-Inputs!$B$39)*Inputs!$B$41</f>
        <v>-8.0000000000000349E-3</v>
      </c>
      <c r="C83" s="34">
        <f>Inputs!$B$39*C82+(1-Inputs!$B$39)*Inputs!$B$41</f>
        <v>-8.0000000000000349E-3</v>
      </c>
      <c r="D83" s="34">
        <f>Inputs!$B$39*D82+(1-Inputs!$B$39)*Inputs!$B$41</f>
        <v>-8.0000000000000349E-3</v>
      </c>
      <c r="E83" s="34">
        <f>Inputs!$B$39*E82+(1-Inputs!$B$39)*Inputs!$B$41</f>
        <v>7.0443458980044352E-2</v>
      </c>
      <c r="F83" s="43"/>
    </row>
    <row r="84" spans="1:6" x14ac:dyDescent="0.35">
      <c r="A84" s="6" t="s">
        <v>198</v>
      </c>
      <c r="B84" s="44">
        <f>Inputs!B$47*(1+B83)*(1+Scenarios!$E$8)</f>
        <v>891.08879999999999</v>
      </c>
      <c r="C84" s="44">
        <f>Inputs!C$47*(1+C83)*(1+Scenarios!$E$8)</f>
        <v>853.59119999999996</v>
      </c>
      <c r="D84" s="44">
        <f>Inputs!D$47*(1+D83)*(1+Scenarios!$E$8)</f>
        <v>932.75280000000009</v>
      </c>
      <c r="E84" s="44">
        <f>Inputs!E$47*(1+E83)*(1+Scenarios!$E$8)</f>
        <v>919.17909379157436</v>
      </c>
      <c r="F84" s="45">
        <f>SUM(B84:E84)</f>
        <v>3596.6118937915744</v>
      </c>
    </row>
    <row r="85" spans="1:6" x14ac:dyDescent="0.35">
      <c r="A85" s="6" t="s">
        <v>199</v>
      </c>
      <c r="B85" s="44">
        <f>Inputs!B$48*(1+Inputs!$B$42)</f>
        <v>101.955</v>
      </c>
      <c r="C85" s="44">
        <f>Inputs!C$48*(1+Inputs!$B$42)</f>
        <v>107.31</v>
      </c>
      <c r="D85" s="44">
        <f>Inputs!D$48*(1+Inputs!$B$42)</f>
        <v>112.77000000000001</v>
      </c>
      <c r="E85" s="44">
        <f>Inputs!E$48*(1+Inputs!$B$42)</f>
        <v>118.125</v>
      </c>
      <c r="F85" s="45">
        <f>SUM(B85:E85)</f>
        <v>440.15999999999997</v>
      </c>
    </row>
    <row r="86" spans="1:6" x14ac:dyDescent="0.35">
      <c r="A86" s="6" t="s">
        <v>200</v>
      </c>
      <c r="B86" s="44">
        <f>(Inputs!B$48-Inputs!B$50)*(1+Inputs!$B$42)</f>
        <v>7.4549999999999947</v>
      </c>
      <c r="C86" s="44">
        <f>(Inputs!C$48-Inputs!C$50)*(1+Inputs!$B$42)</f>
        <v>6.0899999999999972</v>
      </c>
      <c r="D86" s="44">
        <f>(Inputs!D$48-Inputs!D$50)*(1+Inputs!$B$42)</f>
        <v>8.8200000000000056</v>
      </c>
      <c r="E86" s="44">
        <f>(Inputs!E$48-Inputs!E$50)*(1+Inputs!$B$42)</f>
        <v>7.139999999999997</v>
      </c>
      <c r="F86" s="43"/>
    </row>
    <row r="87" spans="1:6" x14ac:dyDescent="0.35">
      <c r="A87" s="6" t="s">
        <v>201</v>
      </c>
      <c r="B87" s="44">
        <f>Inputs!B$49*Inputs!$B$40*(1+Scenarios!$E$9)+Inputs!B$49*(1-Inputs!$B$40)*(1+B83)</f>
        <v>405.83240000000001</v>
      </c>
      <c r="C87" s="44">
        <f>Inputs!C$49*Inputs!$B$40*(1+Scenarios!$E$9)+Inputs!C$49*(1-Inputs!$B$40)*(1+C83)</f>
        <v>402.67535999999996</v>
      </c>
      <c r="D87" s="44">
        <f>Inputs!D$49*Inputs!$B$40*(1+Scenarios!$E$9)+Inputs!D$49*(1-Inputs!$B$40)*(1+D83)</f>
        <v>427.42248000000001</v>
      </c>
      <c r="E87" s="44">
        <f>Inputs!E$49*Inputs!$B$40*(1+Scenarios!$E$9)+Inputs!E$49*(1-Inputs!$B$40)*(1+E83)</f>
        <v>443.39677339246123</v>
      </c>
      <c r="F87" s="45">
        <f>SUM(B87:E87)</f>
        <v>1679.3270133924611</v>
      </c>
    </row>
    <row r="88" spans="1:6" x14ac:dyDescent="0.35">
      <c r="A88" s="6" t="s">
        <v>202</v>
      </c>
      <c r="B88" s="44">
        <f>Inputs!B$51*(1+Inputs!$B$42)</f>
        <v>93.660000000000011</v>
      </c>
      <c r="C88" s="44">
        <f>Inputs!C$51*(1+Inputs!$B$42)</f>
        <v>92.820000000000007</v>
      </c>
      <c r="D88" s="44">
        <f>Inputs!D$51*(1+Inputs!$B$42)</f>
        <v>98.385000000000005</v>
      </c>
      <c r="E88" s="44">
        <f>Inputs!E$51*(1+Inputs!$B$42)</f>
        <v>96.285000000000011</v>
      </c>
      <c r="F88" s="45">
        <f>SUM(B88:E88)</f>
        <v>381.15000000000003</v>
      </c>
    </row>
    <row r="89" spans="1:6" x14ac:dyDescent="0.35">
      <c r="A89" s="6" t="s">
        <v>203</v>
      </c>
      <c r="B89" s="44">
        <f>B84+B86-B87-B88</f>
        <v>399.0514</v>
      </c>
      <c r="C89" s="44">
        <f>C84+C86-C87-C88</f>
        <v>364.18584000000004</v>
      </c>
      <c r="D89" s="44">
        <f>D84+D86-D87-D88</f>
        <v>415.7653200000002</v>
      </c>
      <c r="E89" s="44">
        <f>E84+E86-E87-E88</f>
        <v>386.63732039911309</v>
      </c>
      <c r="F89" s="45">
        <f>SUM(B89:E89)</f>
        <v>1565.6398803991135</v>
      </c>
    </row>
    <row r="90" spans="1:6" x14ac:dyDescent="0.35">
      <c r="A90" s="6" t="s">
        <v>204</v>
      </c>
      <c r="B90" s="34">
        <f>B89/(B84+B85)</f>
        <v>0.40184672619676998</v>
      </c>
      <c r="C90" s="34">
        <f>C89/(C84+C85)</f>
        <v>0.37900445956358469</v>
      </c>
      <c r="D90" s="34">
        <f>D89/(D84+D85)</f>
        <v>0.39766260477533355</v>
      </c>
      <c r="E90" s="34">
        <f>E89/(E84+E85)</f>
        <v>0.37273285887253055</v>
      </c>
      <c r="F90" s="33">
        <f>F89/(F84+F85)</f>
        <v>0.38784452567335237</v>
      </c>
    </row>
    <row r="91" spans="1:6" x14ac:dyDescent="0.35">
      <c r="A91" s="6" t="s">
        <v>205</v>
      </c>
      <c r="B91" s="44">
        <f>Inputs!B$52*(1+Inputs!$B$43)</f>
        <v>61.27000000000001</v>
      </c>
      <c r="C91" s="44">
        <f>Inputs!C$52*(1+Inputs!$B$43)</f>
        <v>51.920000000000009</v>
      </c>
      <c r="D91" s="44">
        <f>Inputs!D$52*(1+Inputs!$B$43)</f>
        <v>81.180000000000007</v>
      </c>
      <c r="E91" s="44">
        <f>Inputs!E$52*(1+Inputs!$B$43)</f>
        <v>62.480000000000004</v>
      </c>
      <c r="F91" s="45">
        <f>SUM(B91:E91)</f>
        <v>256.85000000000002</v>
      </c>
    </row>
    <row r="92" spans="1:6" x14ac:dyDescent="0.35">
      <c r="A92" s="6" t="s">
        <v>206</v>
      </c>
      <c r="B92" s="44">
        <f>Inputs!B$53*(1+Inputs!$B$43)</f>
        <v>222.64000000000001</v>
      </c>
      <c r="C92" s="44">
        <f>Inputs!C$53*(1+Inputs!$B$43)</f>
        <v>220.11</v>
      </c>
      <c r="D92" s="44">
        <f>Inputs!D$53*(1+Inputs!$B$43)</f>
        <v>257.62</v>
      </c>
      <c r="E92" s="44">
        <f>Inputs!E$53*(1+Inputs!$B$43)</f>
        <v>244.20000000000002</v>
      </c>
      <c r="F92" s="45">
        <f>SUM(B92:E92)</f>
        <v>944.57</v>
      </c>
    </row>
    <row r="93" spans="1:6" x14ac:dyDescent="0.35">
      <c r="A93" s="6" t="s">
        <v>207</v>
      </c>
      <c r="B93" s="34">
        <f>(B89+B91)/(B84+B85+B92)</f>
        <v>0.37865224493408567</v>
      </c>
      <c r="C93" s="34">
        <f>(C89+C91)/(C84+C85+C92)</f>
        <v>0.3523301387827652</v>
      </c>
      <c r="D93" s="34">
        <f>(D89+D91)/(D84+D85+D92)</f>
        <v>0.38134371766471042</v>
      </c>
      <c r="E93" s="34">
        <f>(E89+E91)/(E84+E85+E92)</f>
        <v>0.35046108910219226</v>
      </c>
      <c r="F93" s="33">
        <f>(F89+F91)/(F84+F85+F92)</f>
        <v>0.36586323911445395</v>
      </c>
    </row>
    <row r="94" spans="1:6" x14ac:dyDescent="0.35">
      <c r="A94" s="6" t="s">
        <v>208</v>
      </c>
      <c r="B94" s="46">
        <f>(B89+B91)*(1-Inputs!$B$8)/Inputs!$B$7</f>
        <v>0.39759520064377679</v>
      </c>
      <c r="C94" s="46">
        <f>(C89+C91)*(1-Inputs!$B$8)/Inputs!$B$7</f>
        <v>0.35940472231759657</v>
      </c>
      <c r="D94" s="46">
        <f>(D89+D91)*(1-Inputs!$B$8)/Inputs!$B$7</f>
        <v>0.42922852210300444</v>
      </c>
      <c r="E94" s="46">
        <f>(E89+E91)*(1-Inputs!$B$8)/Inputs!$B$7</f>
        <v>0.38791785721168026</v>
      </c>
      <c r="F94" s="47">
        <f t="shared" ref="F94:F101" si="3">SUM(B94:E94)</f>
        <v>1.5741463022760578</v>
      </c>
    </row>
    <row r="95" spans="1:6" x14ac:dyDescent="0.35">
      <c r="A95" s="6" t="s">
        <v>209</v>
      </c>
      <c r="B95" s="44">
        <f>Inputs!$B$12</f>
        <v>38</v>
      </c>
      <c r="C95" s="44">
        <f>Inputs!$B$12</f>
        <v>38</v>
      </c>
      <c r="D95" s="44">
        <f>Inputs!$B$12</f>
        <v>38</v>
      </c>
      <c r="E95" s="44">
        <f>Inputs!$B$12</f>
        <v>38</v>
      </c>
      <c r="F95" s="45">
        <f t="shared" si="3"/>
        <v>152</v>
      </c>
    </row>
    <row r="96" spans="1:6" x14ac:dyDescent="0.35">
      <c r="A96" s="12" t="s">
        <v>210</v>
      </c>
      <c r="B96" s="47">
        <f>(B89+B91+B95)*(1-Inputs!$B$8)/Inputs!$B$7</f>
        <v>0.43041708905579401</v>
      </c>
      <c r="C96" s="47">
        <f>(C89+C91+C95)*(1-Inputs!$B$8)/Inputs!$B$7</f>
        <v>0.39222661072961373</v>
      </c>
      <c r="D96" s="47">
        <f>(D89+D91+D95)*(1-Inputs!$B$8)/Inputs!$B$7</f>
        <v>0.4620504105150216</v>
      </c>
      <c r="E96" s="47">
        <f>(E89+E91+E95)*(1-Inputs!$B$8)/Inputs!$B$7</f>
        <v>0.42073974562369743</v>
      </c>
      <c r="F96" s="47">
        <f t="shared" si="3"/>
        <v>1.7054338559241267</v>
      </c>
    </row>
    <row r="97" spans="1:11" x14ac:dyDescent="0.35">
      <c r="A97" s="6" t="s">
        <v>211</v>
      </c>
      <c r="B97" s="44">
        <f>0</f>
        <v>0</v>
      </c>
      <c r="C97" s="44">
        <f>Inputs!$B$16*(Scenarios!$E$11-Scenarios!$E$10)</f>
        <v>-5</v>
      </c>
      <c r="D97" s="44">
        <f>Scenarios!$E$11-Scenarios!$E$10</f>
        <v>-10</v>
      </c>
      <c r="E97" s="44">
        <f>Scenarios!$E$11-Scenarios!$E$10</f>
        <v>-10</v>
      </c>
      <c r="F97" s="45">
        <f t="shared" si="3"/>
        <v>-25</v>
      </c>
    </row>
    <row r="98" spans="1:11" x14ac:dyDescent="0.35">
      <c r="A98" s="6" t="s">
        <v>212</v>
      </c>
      <c r="B98" s="44">
        <f>Inputs!$B$12</f>
        <v>38</v>
      </c>
      <c r="C98" s="44">
        <f>Inputs!$B$16*Scenarios!$E$12+(1-Inputs!$B$16)*Inputs!$B$12</f>
        <v>33</v>
      </c>
      <c r="D98" s="44">
        <f>Scenarios!$E$12</f>
        <v>28</v>
      </c>
      <c r="E98" s="44">
        <f>Scenarios!$E$12</f>
        <v>28</v>
      </c>
      <c r="F98" s="45">
        <f t="shared" si="3"/>
        <v>127</v>
      </c>
    </row>
    <row r="99" spans="1:11" x14ac:dyDescent="0.35">
      <c r="A99" s="12" t="s">
        <v>213</v>
      </c>
      <c r="B99" s="47">
        <f>(B89+B91+B97+B98)*(1-Inputs!$B$8)/Inputs!$B$7</f>
        <v>0.43041708905579401</v>
      </c>
      <c r="C99" s="47">
        <f>(C89+C91+C97+C98)*(1-Inputs!$B$8)/Inputs!$B$7</f>
        <v>0.38358927167381979</v>
      </c>
      <c r="D99" s="47">
        <f>(D89+D91+D97+D98)*(1-Inputs!$B$8)/Inputs!$B$7</f>
        <v>0.44477573240343365</v>
      </c>
      <c r="E99" s="47">
        <f>(E89+E91+E97+E98)*(1-Inputs!$B$8)/Inputs!$B$7</f>
        <v>0.40346506751210948</v>
      </c>
      <c r="F99" s="47">
        <f t="shared" si="3"/>
        <v>1.6622471606451568</v>
      </c>
    </row>
    <row r="100" spans="1:11" x14ac:dyDescent="0.35">
      <c r="A100" s="6" t="s">
        <v>214</v>
      </c>
      <c r="B100" s="46">
        <f>B99-B96</f>
        <v>0</v>
      </c>
      <c r="C100" s="46">
        <f>C99-C96</f>
        <v>-8.6373390557939467E-3</v>
      </c>
      <c r="D100" s="46">
        <f>D99-D96</f>
        <v>-1.7274678111587949E-2</v>
      </c>
      <c r="E100" s="46">
        <f>E99-E96</f>
        <v>-1.7274678111587949E-2</v>
      </c>
      <c r="F100" s="47">
        <f t="shared" si="3"/>
        <v>-4.3186695278969844E-2</v>
      </c>
    </row>
    <row r="101" spans="1:11" x14ac:dyDescent="0.35">
      <c r="A101" s="6" t="s">
        <v>215</v>
      </c>
      <c r="B101" s="46">
        <f>(B89+B91+B97)*(1-Inputs!$B$8)/Inputs!$B$7</f>
        <v>0.39759520064377679</v>
      </c>
      <c r="C101" s="46">
        <f>(C89+C91+C97)*(1-Inputs!$B$8)/Inputs!$B$7</f>
        <v>0.35508605278969962</v>
      </c>
      <c r="D101" s="46">
        <f>(D89+D91+D97)*(1-Inputs!$B$8)/Inputs!$B$7</f>
        <v>0.42059118304721049</v>
      </c>
      <c r="E101" s="46">
        <f>(E89+E91+E97)*(1-Inputs!$B$8)/Inputs!$B$7</f>
        <v>0.37928051815588626</v>
      </c>
      <c r="F101" s="47">
        <f t="shared" si="3"/>
        <v>1.5525529546365731</v>
      </c>
    </row>
    <row r="105" spans="1:11" x14ac:dyDescent="0.35">
      <c r="A105" s="4" t="s">
        <v>216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spans="1:11" ht="28" customHeight="1" x14ac:dyDescent="0.35">
      <c r="A106" s="14" t="s">
        <v>217</v>
      </c>
      <c r="B106" s="15" t="s">
        <v>218</v>
      </c>
      <c r="C106" s="15" t="s">
        <v>219</v>
      </c>
      <c r="D106" s="15" t="s">
        <v>220</v>
      </c>
      <c r="E106" s="15" t="s">
        <v>221</v>
      </c>
      <c r="F106" s="15" t="s">
        <v>222</v>
      </c>
      <c r="G106" s="15" t="s">
        <v>223</v>
      </c>
      <c r="H106" s="15" t="s">
        <v>224</v>
      </c>
      <c r="I106" s="15" t="s">
        <v>225</v>
      </c>
      <c r="J106" s="15" t="s">
        <v>22</v>
      </c>
      <c r="K106" s="15" t="s">
        <v>226</v>
      </c>
    </row>
    <row r="107" spans="1:11" x14ac:dyDescent="0.35">
      <c r="A107" s="48" t="s">
        <v>227</v>
      </c>
      <c r="B107" s="41"/>
      <c r="C107" s="41"/>
      <c r="D107" s="41"/>
      <c r="E107" s="41"/>
      <c r="F107" s="41"/>
      <c r="G107" s="41"/>
      <c r="H107" s="41"/>
      <c r="I107" s="41"/>
      <c r="J107" s="49">
        <f>SUM(Inputs!B56:E56)</f>
        <v>1.5499999999999998</v>
      </c>
      <c r="K107" s="41"/>
    </row>
    <row r="108" spans="1:11" x14ac:dyDescent="0.35">
      <c r="A108" s="48" t="s">
        <v>228</v>
      </c>
      <c r="B108" s="50">
        <v>0</v>
      </c>
      <c r="C108" s="50">
        <v>0</v>
      </c>
      <c r="D108" s="51">
        <v>0</v>
      </c>
      <c r="E108" s="50">
        <v>0</v>
      </c>
      <c r="F108" s="50">
        <v>0</v>
      </c>
      <c r="G108" s="50">
        <v>0</v>
      </c>
      <c r="H108" s="50">
        <v>0</v>
      </c>
      <c r="I108" s="50">
        <v>0</v>
      </c>
      <c r="J108" s="52">
        <f>(((Inputs!$B$47*(1+(Inputs!$B$39*($B108+((1+$C108)/(1-Inputs!$B$55*$D108)-1))+(1-Inputs!$B$39)*$G108))*(1+$E108)+(Inputs!$B$48-Inputs!$B$50)*(1+$H108)-(Inputs!$B$49*Inputs!$B$40*(1+$F108)+Inputs!$B$49*(1-Inputs!$B$40)*(1+(Inputs!$B$39*($B108+((1+$C108)/(1-Inputs!$B$55*$D108)-1))+(1-Inputs!$B$39)*$G108)))-Inputs!$B$51*(1+$H108))+Inputs!$B$52*(1+$I108))+((Inputs!$C$47*(1+(Inputs!$B$39*($B108+((1+$C108)/(1-Inputs!$C$55*$D108)-1))+(1-Inputs!$B$39)*$G108))*(1+$E108)+(Inputs!$C$48-Inputs!$C$50)*(1+$H108)-(Inputs!$C$49*Inputs!$B$40*(1+$F108)+Inputs!$C$49*(1-Inputs!$B$40)*(1+(Inputs!$B$39*($B108+((1+$C108)/(1-Inputs!$C$55*$D108)-1))+(1-Inputs!$B$39)*$G108)))-Inputs!$C$51*(1+$H108))+Inputs!$C$52*(1+$I108))+((Inputs!$D$47*(1+(Inputs!$B$39*($B108+((1+$C108)/(1-Inputs!$D$55*$D108)-1))+(1-Inputs!$B$39)*$G108))*(1+$E108)+(Inputs!$D$48-Inputs!$D$50)*(1+$H108)-(Inputs!$D$49*Inputs!$B$40*(1+$F108)+Inputs!$D$49*(1-Inputs!$B$40)*(1+(Inputs!$B$39*($B108+((1+$C108)/(1-Inputs!$D$55*$D108)-1))+(1-Inputs!$B$39)*$G108)))-Inputs!$D$51*(1+$H108))+Inputs!$D$52*(1+$I108))+((Inputs!$E$47*(1+(Inputs!$B$39*($B108+((1+$C108)/(1-Inputs!$E$55*$D108)-1))+(1-Inputs!$B$39)*$G108))*(1+$E108)+(Inputs!$E$48-Inputs!$E$50)*(1+$H108)-(Inputs!$E$49*Inputs!$B$40*(1+$F108)+Inputs!$E$49*(1-Inputs!$B$40)*(1+(Inputs!$B$39*($B108+((1+$C108)/(1-Inputs!$E$55*$D108)-1))+(1-Inputs!$B$39)*$G108)))-Inputs!$E$51*(1+$H108))+Inputs!$E$52*(1+$I108))+4*Inputs!$B$12)*(1-Inputs!$B$8)/Inputs!$B$7</f>
        <v>1.5586078326180255</v>
      </c>
      <c r="K108" s="52">
        <f t="shared" ref="K108:K113" si="4">J108-J107</f>
        <v>8.6078326180256681E-3</v>
      </c>
    </row>
    <row r="109" spans="1:11" x14ac:dyDescent="0.35">
      <c r="A109" s="48" t="s">
        <v>229</v>
      </c>
      <c r="B109" s="50">
        <v>0</v>
      </c>
      <c r="C109" s="53">
        <f>Scenarios!$C$7</f>
        <v>-0.13</v>
      </c>
      <c r="D109" s="51">
        <v>1</v>
      </c>
      <c r="E109" s="50">
        <v>0</v>
      </c>
      <c r="F109" s="50">
        <v>0</v>
      </c>
      <c r="G109" s="50">
        <v>0</v>
      </c>
      <c r="H109" s="50">
        <v>0</v>
      </c>
      <c r="I109" s="50">
        <v>0</v>
      </c>
      <c r="J109" s="52">
        <f>(((Inputs!$B$47*(1+(Inputs!$B$39*($B109+((1+$C109)/(1-Inputs!$B$55*$D109)-1))+(1-Inputs!$B$39)*$G109))*(1+$E109)+(Inputs!$B$48-Inputs!$B$50)*(1+$H109)-(Inputs!$B$49*Inputs!$B$40*(1+$F109)+Inputs!$B$49*(1-Inputs!$B$40)*(1+(Inputs!$B$39*($B109+((1+$C109)/(1-Inputs!$B$55*$D109)-1))+(1-Inputs!$B$39)*$G109)))-Inputs!$B$51*(1+$H109))+Inputs!$B$52*(1+$I109))+((Inputs!$C$47*(1+(Inputs!$B$39*($B109+((1+$C109)/(1-Inputs!$C$55*$D109)-1))+(1-Inputs!$B$39)*$G109))*(1+$E109)+(Inputs!$C$48-Inputs!$C$50)*(1+$H109)-(Inputs!$C$49*Inputs!$B$40*(1+$F109)+Inputs!$C$49*(1-Inputs!$B$40)*(1+(Inputs!$B$39*($B109+((1+$C109)/(1-Inputs!$C$55*$D109)-1))+(1-Inputs!$B$39)*$G109)))-Inputs!$C$51*(1+$H109))+Inputs!$C$52*(1+$I109))+((Inputs!$D$47*(1+(Inputs!$B$39*($B109+((1+$C109)/(1-Inputs!$D$55*$D109)-1))+(1-Inputs!$B$39)*$G109))*(1+$E109)+(Inputs!$D$48-Inputs!$D$50)*(1+$H109)-(Inputs!$D$49*Inputs!$B$40*(1+$F109)+Inputs!$D$49*(1-Inputs!$B$40)*(1+(Inputs!$B$39*($B109+((1+$C109)/(1-Inputs!$D$55*$D109)-1))+(1-Inputs!$B$39)*$G109)))-Inputs!$D$51*(1+$H109))+Inputs!$D$52*(1+$I109))+((Inputs!$E$47*(1+(Inputs!$B$39*($B109+((1+$C109)/(1-Inputs!$E$55*$D109)-1))+(1-Inputs!$B$39)*$G109))*(1+$E109)+(Inputs!$E$48-Inputs!$E$50)*(1+$H109)-(Inputs!$E$49*Inputs!$B$40*(1+$F109)+Inputs!$E$49*(1-Inputs!$B$40)*(1+(Inputs!$B$39*($B109+((1+$C109)/(1-Inputs!$E$55*$D109)-1))+(1-Inputs!$B$39)*$G109)))-Inputs!$E$51*(1+$H109))+Inputs!$E$52*(1+$I109))+4*Inputs!$B$12)*(1-Inputs!$B$8)/Inputs!$B$7</f>
        <v>1.3712182262475376</v>
      </c>
      <c r="K109" s="52">
        <f t="shared" si="4"/>
        <v>-0.18738960637048785</v>
      </c>
    </row>
    <row r="110" spans="1:11" x14ac:dyDescent="0.35">
      <c r="A110" s="48" t="s">
        <v>230</v>
      </c>
      <c r="B110" s="53">
        <f>Scenarios!$C$6</f>
        <v>0.01</v>
      </c>
      <c r="C110" s="53">
        <f>Scenarios!$C$7</f>
        <v>-0.13</v>
      </c>
      <c r="D110" s="51">
        <v>1</v>
      </c>
      <c r="E110" s="50">
        <v>0</v>
      </c>
      <c r="F110" s="50">
        <v>0</v>
      </c>
      <c r="G110" s="53">
        <f>Inputs!$B$41</f>
        <v>0.03</v>
      </c>
      <c r="H110" s="50">
        <v>0</v>
      </c>
      <c r="I110" s="50">
        <v>0</v>
      </c>
      <c r="J110" s="52">
        <f>(((Inputs!$B$47*(1+(Inputs!$B$39*($B110+((1+$C110)/(1-Inputs!$B$55*$D110)-1))+(1-Inputs!$B$39)*$G110))*(1+$E110)+(Inputs!$B$48-Inputs!$B$50)*(1+$H110)-(Inputs!$B$49*Inputs!$B$40*(1+$F110)+Inputs!$B$49*(1-Inputs!$B$40)*(1+(Inputs!$B$39*($B110+((1+$C110)/(1-Inputs!$B$55*$D110)-1))+(1-Inputs!$B$39)*$G110)))-Inputs!$B$51*(1+$H110))+Inputs!$B$52*(1+$I110))+((Inputs!$C$47*(1+(Inputs!$B$39*($B110+((1+$C110)/(1-Inputs!$C$55*$D110)-1))+(1-Inputs!$B$39)*$G110))*(1+$E110)+(Inputs!$C$48-Inputs!$C$50)*(1+$H110)-(Inputs!$C$49*Inputs!$B$40*(1+$F110)+Inputs!$C$49*(1-Inputs!$B$40)*(1+(Inputs!$B$39*($B110+((1+$C110)/(1-Inputs!$C$55*$D110)-1))+(1-Inputs!$B$39)*$G110)))-Inputs!$C$51*(1+$H110))+Inputs!$C$52*(1+$I110))+((Inputs!$D$47*(1+(Inputs!$B$39*($B110+((1+$C110)/(1-Inputs!$D$55*$D110)-1))+(1-Inputs!$B$39)*$G110))*(1+$E110)+(Inputs!$D$48-Inputs!$D$50)*(1+$H110)-(Inputs!$D$49*Inputs!$B$40*(1+$F110)+Inputs!$D$49*(1-Inputs!$B$40)*(1+(Inputs!$B$39*($B110+((1+$C110)/(1-Inputs!$D$55*$D110)-1))+(1-Inputs!$B$39)*$G110)))-Inputs!$D$51*(1+$H110))+Inputs!$D$52*(1+$I110))+((Inputs!$E$47*(1+(Inputs!$B$39*($B110+((1+$C110)/(1-Inputs!$E$55*$D110)-1))+(1-Inputs!$B$39)*$G110))*(1+$E110)+(Inputs!$E$48-Inputs!$E$50)*(1+$H110)-(Inputs!$E$49*Inputs!$B$40*(1+$F110)+Inputs!$E$49*(1-Inputs!$B$40)*(1+(Inputs!$B$39*($B110+((1+$C110)/(1-Inputs!$E$55*$D110)-1))+(1-Inputs!$B$39)*$G110)))-Inputs!$E$51*(1+$H110))+Inputs!$E$52*(1+$I110))+4*Inputs!$B$12)*(1-Inputs!$B$8)/Inputs!$B$7</f>
        <v>1.4051299188226447</v>
      </c>
      <c r="K110" s="52">
        <f t="shared" si="4"/>
        <v>3.3911692575107066E-2</v>
      </c>
    </row>
    <row r="111" spans="1:11" x14ac:dyDescent="0.35">
      <c r="A111" s="48" t="s">
        <v>231</v>
      </c>
      <c r="B111" s="53">
        <f>Scenarios!$C$6</f>
        <v>0.01</v>
      </c>
      <c r="C111" s="53">
        <f>Scenarios!$C$7</f>
        <v>-0.13</v>
      </c>
      <c r="D111" s="51">
        <v>1</v>
      </c>
      <c r="E111" s="53">
        <f>Scenarios!$C$8</f>
        <v>3.5000000000000003E-2</v>
      </c>
      <c r="F111" s="50">
        <v>0</v>
      </c>
      <c r="G111" s="53">
        <f>Inputs!$B$41</f>
        <v>0.03</v>
      </c>
      <c r="H111" s="50">
        <v>0</v>
      </c>
      <c r="I111" s="50">
        <v>0</v>
      </c>
      <c r="J111" s="52">
        <f>(((Inputs!$B$47*(1+(Inputs!$B$39*($B111+((1+$C111)/(1-Inputs!$B$55*$D111)-1))+(1-Inputs!$B$39)*$G111))*(1+$E111)+(Inputs!$B$48-Inputs!$B$50)*(1+$H111)-(Inputs!$B$49*Inputs!$B$40*(1+$F111)+Inputs!$B$49*(1-Inputs!$B$40)*(1+(Inputs!$B$39*($B111+((1+$C111)/(1-Inputs!$B$55*$D111)-1))+(1-Inputs!$B$39)*$G111)))-Inputs!$B$51*(1+$H111))+Inputs!$B$52*(1+$I111))+((Inputs!$C$47*(1+(Inputs!$B$39*($B111+((1+$C111)/(1-Inputs!$C$55*$D111)-1))+(1-Inputs!$B$39)*$G111))*(1+$E111)+(Inputs!$C$48-Inputs!$C$50)*(1+$H111)-(Inputs!$C$49*Inputs!$B$40*(1+$F111)+Inputs!$C$49*(1-Inputs!$B$40)*(1+(Inputs!$B$39*($B111+((1+$C111)/(1-Inputs!$C$55*$D111)-1))+(1-Inputs!$B$39)*$G111)))-Inputs!$C$51*(1+$H111))+Inputs!$C$52*(1+$I111))+((Inputs!$D$47*(1+(Inputs!$B$39*($B111+((1+$C111)/(1-Inputs!$D$55*$D111)-1))+(1-Inputs!$B$39)*$G111))*(1+$E111)+(Inputs!$D$48-Inputs!$D$50)*(1+$H111)-(Inputs!$D$49*Inputs!$B$40*(1+$F111)+Inputs!$D$49*(1-Inputs!$B$40)*(1+(Inputs!$B$39*($B111+((1+$C111)/(1-Inputs!$D$55*$D111)-1))+(1-Inputs!$B$39)*$G111)))-Inputs!$D$51*(1+$H111))+Inputs!$D$52*(1+$I111))+((Inputs!$E$47*(1+(Inputs!$B$39*($B111+((1+$C111)/(1-Inputs!$E$55*$D111)-1))+(1-Inputs!$B$39)*$G111))*(1+$E111)+(Inputs!$E$48-Inputs!$E$50)*(1+$H111)-(Inputs!$E$49*Inputs!$B$40*(1+$F111)+Inputs!$E$49*(1-Inputs!$B$40)*(1+(Inputs!$B$39*($B111+((1+$C111)/(1-Inputs!$E$55*$D111)-1))+(1-Inputs!$B$39)*$G111)))-Inputs!$E$51*(1+$H111))+Inputs!$E$52*(1+$I111))+4*Inputs!$B$12)*(1-Inputs!$B$8)/Inputs!$B$7</f>
        <v>1.50073239971768</v>
      </c>
      <c r="K111" s="52">
        <f t="shared" si="4"/>
        <v>9.5602480895035313E-2</v>
      </c>
    </row>
    <row r="112" spans="1:11" x14ac:dyDescent="0.35">
      <c r="A112" s="48" t="s">
        <v>232</v>
      </c>
      <c r="B112" s="53">
        <f>Scenarios!$C$6</f>
        <v>0.01</v>
      </c>
      <c r="C112" s="53">
        <f>Scenarios!$C$7</f>
        <v>-0.13</v>
      </c>
      <c r="D112" s="51">
        <v>1</v>
      </c>
      <c r="E112" s="53">
        <f>Scenarios!$C$8</f>
        <v>3.5000000000000003E-2</v>
      </c>
      <c r="F112" s="53">
        <f>Scenarios!$C$9</f>
        <v>7.0000000000000007E-2</v>
      </c>
      <c r="G112" s="53">
        <f>Inputs!$B$41</f>
        <v>0.03</v>
      </c>
      <c r="H112" s="50">
        <v>0</v>
      </c>
      <c r="I112" s="50">
        <v>0</v>
      </c>
      <c r="J112" s="52">
        <f>(((Inputs!$B$47*(1+(Inputs!$B$39*($B112+((1+$C112)/(1-Inputs!$B$55*$D112)-1))+(1-Inputs!$B$39)*$G112))*(1+$E112)+(Inputs!$B$48-Inputs!$B$50)*(1+$H112)-(Inputs!$B$49*Inputs!$B$40*(1+$F112)+Inputs!$B$49*(1-Inputs!$B$40)*(1+(Inputs!$B$39*($B112+((1+$C112)/(1-Inputs!$B$55*$D112)-1))+(1-Inputs!$B$39)*$G112)))-Inputs!$B$51*(1+$H112))+Inputs!$B$52*(1+$I112))+((Inputs!$C$47*(1+(Inputs!$B$39*($B112+((1+$C112)/(1-Inputs!$C$55*$D112)-1))+(1-Inputs!$B$39)*$G112))*(1+$E112)+(Inputs!$C$48-Inputs!$C$50)*(1+$H112)-(Inputs!$C$49*Inputs!$B$40*(1+$F112)+Inputs!$C$49*(1-Inputs!$B$40)*(1+(Inputs!$B$39*($B112+((1+$C112)/(1-Inputs!$C$55*$D112)-1))+(1-Inputs!$B$39)*$G112)))-Inputs!$C$51*(1+$H112))+Inputs!$C$52*(1+$I112))+((Inputs!$D$47*(1+(Inputs!$B$39*($B112+((1+$C112)/(1-Inputs!$D$55*$D112)-1))+(1-Inputs!$B$39)*$G112))*(1+$E112)+(Inputs!$D$48-Inputs!$D$50)*(1+$H112)-(Inputs!$D$49*Inputs!$B$40*(1+$F112)+Inputs!$D$49*(1-Inputs!$B$40)*(1+(Inputs!$B$39*($B112+((1+$C112)/(1-Inputs!$D$55*$D112)-1))+(1-Inputs!$B$39)*$G112)))-Inputs!$D$51*(1+$H112))+Inputs!$D$52*(1+$I112))+((Inputs!$E$47*(1+(Inputs!$B$39*($B112+((1+$C112)/(1-Inputs!$E$55*$D112)-1))+(1-Inputs!$B$39)*$G112))*(1+$E112)+(Inputs!$E$48-Inputs!$E$50)*(1+$H112)-(Inputs!$E$49*Inputs!$B$40*(1+$F112)+Inputs!$E$49*(1-Inputs!$B$40)*(1+(Inputs!$B$39*($B112+((1+$C112)/(1-Inputs!$E$55*$D112)-1))+(1-Inputs!$B$39)*$G112)))-Inputs!$E$51*(1+$H112))+Inputs!$E$52*(1+$I112))+4*Inputs!$B$12)*(1-Inputs!$B$8)/Inputs!$B$7</f>
        <v>1.4463824619494399</v>
      </c>
      <c r="K112" s="52">
        <f t="shared" si="4"/>
        <v>-5.4349937768240153E-2</v>
      </c>
    </row>
    <row r="113" spans="1:11" x14ac:dyDescent="0.35">
      <c r="A113" s="48" t="s">
        <v>233</v>
      </c>
      <c r="B113" s="53">
        <f>Scenarios!$C$6</f>
        <v>0.01</v>
      </c>
      <c r="C113" s="53">
        <f>Scenarios!$C$7</f>
        <v>-0.13</v>
      </c>
      <c r="D113" s="51">
        <v>1</v>
      </c>
      <c r="E113" s="53">
        <f>Scenarios!$C$8</f>
        <v>3.5000000000000003E-2</v>
      </c>
      <c r="F113" s="53">
        <f>Scenarios!$C$9</f>
        <v>7.0000000000000007E-2</v>
      </c>
      <c r="G113" s="53">
        <f>Inputs!$B$41</f>
        <v>0.03</v>
      </c>
      <c r="H113" s="53">
        <f>Inputs!$B$42</f>
        <v>0.05</v>
      </c>
      <c r="I113" s="53">
        <f>Inputs!$B$43</f>
        <v>0.1</v>
      </c>
      <c r="J113" s="54">
        <f>(((Inputs!$B$47*(1+(Inputs!$B$39*($B113+((1+$C113)/(1-Inputs!$B$55*$D113)-1))+(1-Inputs!$B$39)*$G113))*(1+$E113)+(Inputs!$B$48-Inputs!$B$50)*(1+$H113)-(Inputs!$B$49*Inputs!$B$40*(1+$F113)+Inputs!$B$49*(1-Inputs!$B$40)*(1+(Inputs!$B$39*($B113+((1+$C113)/(1-Inputs!$B$55*$D113)-1))+(1-Inputs!$B$39)*$G113)))-Inputs!$B$51*(1+$H113))+Inputs!$B$52*(1+$I113))+((Inputs!$C$47*(1+(Inputs!$B$39*($B113+((1+$C113)/(1-Inputs!$C$55*$D113)-1))+(1-Inputs!$B$39)*$G113))*(1+$E113)+(Inputs!$C$48-Inputs!$C$50)*(1+$H113)-(Inputs!$C$49*Inputs!$B$40*(1+$F113)+Inputs!$C$49*(1-Inputs!$B$40)*(1+(Inputs!$B$39*($B113+((1+$C113)/(1-Inputs!$C$55*$D113)-1))+(1-Inputs!$B$39)*$G113)))-Inputs!$C$51*(1+$H113))+Inputs!$C$52*(1+$I113))+((Inputs!$D$47*(1+(Inputs!$B$39*($B113+((1+$C113)/(1-Inputs!$D$55*$D113)-1))+(1-Inputs!$B$39)*$G113))*(1+$E113)+(Inputs!$D$48-Inputs!$D$50)*(1+$H113)-(Inputs!$D$49*Inputs!$B$40*(1+$F113)+Inputs!$D$49*(1-Inputs!$B$40)*(1+(Inputs!$B$39*($B113+((1+$C113)/(1-Inputs!$D$55*$D113)-1))+(1-Inputs!$B$39)*$G113)))-Inputs!$D$51*(1+$H113))+Inputs!$D$52*(1+$I113))+((Inputs!$E$47*(1+(Inputs!$B$39*($B113+((1+$C113)/(1-Inputs!$E$55*$D113)-1))+(1-Inputs!$B$39)*$G113))*(1+$E113)+(Inputs!$E$48-Inputs!$E$50)*(1+$H113)-(Inputs!$E$49*Inputs!$B$40*(1+$F113)+Inputs!$E$49*(1-Inputs!$B$40)*(1+(Inputs!$B$39*($B113+((1+$C113)/(1-Inputs!$E$55*$D113)-1))+(1-Inputs!$B$39)*$G113)))-Inputs!$E$51*(1+$H113))+Inputs!$E$52*(1+$I113))+4*Inputs!$B$12)*(1-Inputs!$B$8)/Inputs!$B$7</f>
        <v>1.4520874243957917</v>
      </c>
      <c r="K113" s="52">
        <f t="shared" si="4"/>
        <v>5.70496244635188E-3</v>
      </c>
    </row>
    <row r="115" spans="1:11" x14ac:dyDescent="0.35">
      <c r="A115" s="4" t="s">
        <v>234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spans="1:11" x14ac:dyDescent="0.35">
      <c r="A116" s="14" t="s">
        <v>235</v>
      </c>
      <c r="B116" s="15" t="s">
        <v>64</v>
      </c>
      <c r="C116" s="15" t="s">
        <v>236</v>
      </c>
      <c r="D116" s="15" t="s">
        <v>237</v>
      </c>
      <c r="E116" s="15" t="s">
        <v>238</v>
      </c>
      <c r="F116" s="15" t="s">
        <v>239</v>
      </c>
      <c r="G116" s="15" t="s">
        <v>240</v>
      </c>
    </row>
    <row r="117" spans="1:11" x14ac:dyDescent="0.35">
      <c r="A117" s="39" t="s">
        <v>241</v>
      </c>
      <c r="B117" s="54">
        <f>J107</f>
        <v>1.5499999999999998</v>
      </c>
      <c r="C117" s="52">
        <f>B117</f>
        <v>1.5499999999999998</v>
      </c>
      <c r="D117" s="55">
        <v>0</v>
      </c>
      <c r="E117" s="56">
        <f>B117</f>
        <v>1.5499999999999998</v>
      </c>
      <c r="F117" s="57">
        <v>0</v>
      </c>
      <c r="G117" s="58">
        <v>0</v>
      </c>
      <c r="H117" s="41"/>
      <c r="I117" s="41"/>
      <c r="J117" s="41"/>
      <c r="K117" s="41"/>
    </row>
    <row r="118" spans="1:11" x14ac:dyDescent="0.35">
      <c r="A118" s="48" t="s">
        <v>242</v>
      </c>
      <c r="B118" s="52">
        <f>K108+K113</f>
        <v>1.4312795064377548E-2</v>
      </c>
      <c r="C118" s="52">
        <f>C117+B118</f>
        <v>1.5643127950643774</v>
      </c>
      <c r="D118" s="52">
        <f>MIN(C117,C118)</f>
        <v>1.5499999999999998</v>
      </c>
      <c r="E118" s="59">
        <v>0</v>
      </c>
      <c r="F118" s="60">
        <f>MAX(B118,0)</f>
        <v>1.4312795064377548E-2</v>
      </c>
      <c r="G118" s="61">
        <f>MAX(-B118,0)</f>
        <v>0</v>
      </c>
      <c r="H118" s="41"/>
      <c r="I118" s="41"/>
      <c r="J118" s="41"/>
      <c r="K118" s="41"/>
    </row>
    <row r="119" spans="1:11" x14ac:dyDescent="0.35">
      <c r="A119" s="48" t="s">
        <v>243</v>
      </c>
      <c r="B119" s="52">
        <f>K109</f>
        <v>-0.18738960637048785</v>
      </c>
      <c r="C119" s="52">
        <f>C118+B119</f>
        <v>1.3769231886938895</v>
      </c>
      <c r="D119" s="52">
        <f>MIN(C118,C119)</f>
        <v>1.3769231886938895</v>
      </c>
      <c r="E119" s="59">
        <v>0</v>
      </c>
      <c r="F119" s="60">
        <f>MAX(B119,0)</f>
        <v>0</v>
      </c>
      <c r="G119" s="61">
        <f>MAX(-B119,0)</f>
        <v>0.18738960637048785</v>
      </c>
      <c r="H119" s="41"/>
      <c r="I119" s="41"/>
      <c r="J119" s="41"/>
      <c r="K119" s="41"/>
    </row>
    <row r="120" spans="1:11" x14ac:dyDescent="0.35">
      <c r="A120" s="48" t="s">
        <v>244</v>
      </c>
      <c r="B120" s="52">
        <f>K110</f>
        <v>3.3911692575107066E-2</v>
      </c>
      <c r="C120" s="52">
        <f>C119+B120</f>
        <v>1.4108348812689966</v>
      </c>
      <c r="D120" s="52">
        <f>MIN(C119,C120)</f>
        <v>1.3769231886938895</v>
      </c>
      <c r="E120" s="59">
        <v>0</v>
      </c>
      <c r="F120" s="60">
        <f>MAX(B120,0)</f>
        <v>3.3911692575107066E-2</v>
      </c>
      <c r="G120" s="61">
        <f>MAX(-B120,0)</f>
        <v>0</v>
      </c>
      <c r="H120" s="41"/>
      <c r="I120" s="41"/>
      <c r="J120" s="41"/>
      <c r="K120" s="41"/>
    </row>
    <row r="121" spans="1:11" x14ac:dyDescent="0.35">
      <c r="A121" s="48" t="s">
        <v>245</v>
      </c>
      <c r="B121" s="52">
        <f>K111</f>
        <v>9.5602480895035313E-2</v>
      </c>
      <c r="C121" s="52">
        <f>C120+B121</f>
        <v>1.5064373621640319</v>
      </c>
      <c r="D121" s="52">
        <f>MIN(C120,C121)</f>
        <v>1.4108348812689966</v>
      </c>
      <c r="E121" s="59">
        <v>0</v>
      </c>
      <c r="F121" s="60">
        <f>MAX(B121,0)</f>
        <v>9.5602480895035313E-2</v>
      </c>
      <c r="G121" s="61">
        <f>MAX(-B121,0)</f>
        <v>0</v>
      </c>
      <c r="H121" s="41"/>
      <c r="I121" s="41"/>
      <c r="J121" s="41"/>
      <c r="K121" s="41"/>
    </row>
    <row r="122" spans="1:11" x14ac:dyDescent="0.35">
      <c r="A122" s="48" t="s">
        <v>246</v>
      </c>
      <c r="B122" s="52">
        <f>K112</f>
        <v>-5.4349937768240153E-2</v>
      </c>
      <c r="C122" s="52">
        <f>C121+B122</f>
        <v>1.4520874243957917</v>
      </c>
      <c r="D122" s="52">
        <f>MIN(C121,C122)</f>
        <v>1.4520874243957917</v>
      </c>
      <c r="E122" s="59">
        <v>0</v>
      </c>
      <c r="F122" s="60">
        <f>MAX(B122,0)</f>
        <v>0</v>
      </c>
      <c r="G122" s="61">
        <f>MAX(-B122,0)</f>
        <v>5.4349937768240153E-2</v>
      </c>
      <c r="H122" s="41"/>
      <c r="I122" s="41"/>
      <c r="J122" s="41"/>
      <c r="K122" s="41"/>
    </row>
    <row r="123" spans="1:11" x14ac:dyDescent="0.35">
      <c r="A123" s="39" t="s">
        <v>247</v>
      </c>
      <c r="B123" s="54">
        <f>EPS_Build!$F$46</f>
        <v>1.4520874243957917</v>
      </c>
      <c r="C123" s="52">
        <f>B123</f>
        <v>1.4520874243957917</v>
      </c>
      <c r="D123" s="55">
        <v>0</v>
      </c>
      <c r="E123" s="56">
        <f>B123</f>
        <v>1.4520874243957917</v>
      </c>
      <c r="F123" s="57">
        <v>0</v>
      </c>
      <c r="G123" s="58">
        <v>0</v>
      </c>
      <c r="H123" s="41"/>
      <c r="I123" s="41"/>
      <c r="J123" s="41"/>
      <c r="K123" s="41"/>
    </row>
    <row r="124" spans="1:11" x14ac:dyDescent="0.35">
      <c r="A124" s="48" t="s">
        <v>248</v>
      </c>
      <c r="B124" s="52">
        <f>EPS_Build!$F$50</f>
        <v>-6.9098712446351962E-2</v>
      </c>
      <c r="C124" s="52">
        <f>C123+B124</f>
        <v>1.3829887119494397</v>
      </c>
      <c r="D124" s="52">
        <f>MIN(C123,C124)</f>
        <v>1.3829887119494397</v>
      </c>
      <c r="E124" s="59">
        <v>0</v>
      </c>
      <c r="F124" s="60">
        <f>MAX(B124,0)</f>
        <v>0</v>
      </c>
      <c r="G124" s="61">
        <f>MAX(-B124,0)</f>
        <v>6.9098712446351962E-2</v>
      </c>
      <c r="H124" s="41"/>
      <c r="I124" s="41"/>
      <c r="J124" s="41"/>
      <c r="K124" s="41"/>
    </row>
    <row r="125" spans="1:11" x14ac:dyDescent="0.35">
      <c r="A125" s="39" t="s">
        <v>249</v>
      </c>
      <c r="B125" s="54">
        <f>EPS_Build!$F$49</f>
        <v>1.3829887119494397</v>
      </c>
      <c r="C125" s="52">
        <f>B125</f>
        <v>1.3829887119494397</v>
      </c>
      <c r="D125" s="55">
        <v>0</v>
      </c>
      <c r="E125" s="56">
        <f>B125</f>
        <v>1.3829887119494397</v>
      </c>
      <c r="F125" s="57">
        <v>0</v>
      </c>
      <c r="G125" s="58">
        <v>0</v>
      </c>
      <c r="H125" s="41"/>
      <c r="I125" s="41"/>
      <c r="J125" s="41"/>
      <c r="K125" s="41"/>
    </row>
  </sheetData>
  <mergeCells count="1">
    <mergeCell ref="A2:F2"/>
  </mergeCells>
  <pageMargins left="0.75" right="0.75" top="1" bottom="1" header="0.5" footer="0.5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74"/>
  <sheetViews>
    <sheetView showGridLines="0" workbookViewId="0">
      <pane ySplit="7" topLeftCell="A47" activePane="bottomLeft" state="frozen"/>
      <selection pane="bottomLeft" activeCell="A8" sqref="A8"/>
    </sheetView>
  </sheetViews>
  <sheetFormatPr defaultRowHeight="14.5" x14ac:dyDescent="0.35"/>
  <cols>
    <col min="1" max="1" width="58" customWidth="1"/>
    <col min="2" max="5" width="19" customWidth="1"/>
  </cols>
  <sheetData>
    <row r="1" spans="1:5" ht="18" x14ac:dyDescent="0.35">
      <c r="A1" s="1" t="s">
        <v>250</v>
      </c>
    </row>
    <row r="2" spans="1:5" ht="40.5" customHeight="1" x14ac:dyDescent="0.35">
      <c r="A2" s="96" t="s">
        <v>251</v>
      </c>
      <c r="B2" s="85"/>
      <c r="C2" s="85"/>
      <c r="D2" s="85"/>
      <c r="E2" s="85"/>
    </row>
    <row r="3" spans="1:5" x14ac:dyDescent="0.35">
      <c r="A3" s="17" t="s">
        <v>252</v>
      </c>
    </row>
    <row r="4" spans="1:5" ht="28" customHeight="1" x14ac:dyDescent="0.35">
      <c r="A4" s="97" t="s">
        <v>253</v>
      </c>
      <c r="B4" s="85"/>
      <c r="C4" s="85"/>
      <c r="D4" s="85"/>
      <c r="E4" s="85"/>
    </row>
    <row r="6" spans="1:5" x14ac:dyDescent="0.35">
      <c r="A6" s="4" t="s">
        <v>254</v>
      </c>
      <c r="B6" s="5"/>
      <c r="C6" s="5"/>
      <c r="D6" s="5"/>
      <c r="E6" s="5"/>
    </row>
    <row r="7" spans="1:5" ht="28" customHeight="1" x14ac:dyDescent="0.35">
      <c r="A7" s="62" t="s">
        <v>193</v>
      </c>
      <c r="B7" s="63" t="s">
        <v>28</v>
      </c>
      <c r="C7" s="63" t="s">
        <v>29</v>
      </c>
      <c r="D7" s="63" t="s">
        <v>30</v>
      </c>
      <c r="E7" s="63" t="s">
        <v>31</v>
      </c>
    </row>
    <row r="8" spans="1:5" x14ac:dyDescent="0.35">
      <c r="A8" s="6" t="s">
        <v>161</v>
      </c>
      <c r="B8" s="11">
        <f>Scenarios!B$14</f>
        <v>0.2</v>
      </c>
      <c r="C8" s="11">
        <f>Scenarios!C$14</f>
        <v>0.45</v>
      </c>
      <c r="D8" s="11">
        <f>Scenarios!D$14</f>
        <v>0.2</v>
      </c>
      <c r="E8" s="11">
        <f>Scenarios!E$14</f>
        <v>0.15</v>
      </c>
    </row>
    <row r="9" spans="1:5" x14ac:dyDescent="0.35">
      <c r="A9" s="64" t="s">
        <v>255</v>
      </c>
      <c r="B9" s="65">
        <f>EPS_Build!$F$21</f>
        <v>1.279288766857722</v>
      </c>
      <c r="C9" s="65">
        <f>EPS_Build!$F$46</f>
        <v>1.4520874243957917</v>
      </c>
      <c r="D9" s="65">
        <f>EPS_Build!$F$71</f>
        <v>1.6104159332072028</v>
      </c>
      <c r="E9" s="65">
        <f>EPS_Build!$F$96</f>
        <v>1.7054338559241267</v>
      </c>
    </row>
    <row r="10" spans="1:5" x14ac:dyDescent="0.35">
      <c r="A10" s="6" t="s">
        <v>256</v>
      </c>
      <c r="B10" s="7">
        <f>EPS_Build!F25</f>
        <v>-9.5010729613733913E-2</v>
      </c>
      <c r="C10" s="7">
        <f>EPS_Build!F50</f>
        <v>-6.9098712446351962E-2</v>
      </c>
      <c r="D10" s="7">
        <f>EPS_Build!F75</f>
        <v>-4.3186695278970011E-2</v>
      </c>
      <c r="E10" s="7">
        <f>EPS_Build!F100</f>
        <v>-4.3186695278969844E-2</v>
      </c>
    </row>
    <row r="11" spans="1:5" x14ac:dyDescent="0.35">
      <c r="A11" s="64" t="s">
        <v>257</v>
      </c>
      <c r="B11" s="65">
        <f>EPS_Build!$F$24</f>
        <v>1.1842780372439878</v>
      </c>
      <c r="C11" s="65">
        <f>EPS_Build!$F$49</f>
        <v>1.3829887119494397</v>
      </c>
      <c r="D11" s="65">
        <f>EPS_Build!$F$74</f>
        <v>1.5672292379282329</v>
      </c>
      <c r="E11" s="65">
        <f>EPS_Build!$F$99</f>
        <v>1.6622471606451568</v>
      </c>
    </row>
    <row r="12" spans="1:5" x14ac:dyDescent="0.35">
      <c r="A12" s="6" t="s">
        <v>258</v>
      </c>
      <c r="B12" s="46">
        <f>EPS_Build!F19*(1+Scenarios!B$15)+Inputs!$B$12*4*(1-Inputs!$B$8)/Inputs!$B$7</f>
        <v>1.3252088153861081</v>
      </c>
      <c r="C12" s="46">
        <f>EPS_Build!F44*(1+Scenarios!C$15)+Inputs!$B$12*4*(1-Inputs!$B$8)/Inputs!$B$7</f>
        <v>1.6105834088855189</v>
      </c>
      <c r="D12" s="46">
        <f>EPS_Build!F69*(1+Scenarios!D$15)+Inputs!$B$12*4*(1-Inputs!$B$8)/Inputs!$B$7</f>
        <v>1.8766590415278468</v>
      </c>
      <c r="E12" s="46">
        <f>EPS_Build!F94*(1+Scenarios!E$15)+Inputs!$B$12*4*(1-Inputs!$B$8)/Inputs!$B$7</f>
        <v>1.941555801265535</v>
      </c>
    </row>
    <row r="13" spans="1:5" x14ac:dyDescent="0.35">
      <c r="A13" s="6" t="s">
        <v>259</v>
      </c>
      <c r="B13" s="7">
        <f>Scenarios!B$13</f>
        <v>0</v>
      </c>
      <c r="C13" s="7">
        <f>Scenarios!C$13</f>
        <v>0.02</v>
      </c>
      <c r="D13" s="7">
        <f>Scenarios!D$13</f>
        <v>0.04</v>
      </c>
      <c r="E13" s="7">
        <f>Scenarios!E$13</f>
        <v>0.02</v>
      </c>
    </row>
    <row r="14" spans="1:5" x14ac:dyDescent="0.35">
      <c r="A14" s="64" t="s">
        <v>260</v>
      </c>
      <c r="B14" s="65">
        <f>B12+B13</f>
        <v>1.3252088153861081</v>
      </c>
      <c r="C14" s="65">
        <f>C12+C13</f>
        <v>1.6305834088855189</v>
      </c>
      <c r="D14" s="65">
        <f>D12+D13</f>
        <v>1.9166590415278468</v>
      </c>
      <c r="E14" s="65">
        <f>E12+E13</f>
        <v>1.961555801265535</v>
      </c>
    </row>
    <row r="17" spans="1:5" x14ac:dyDescent="0.35">
      <c r="A17" s="4" t="s">
        <v>261</v>
      </c>
      <c r="B17" s="5"/>
      <c r="C17" s="5"/>
      <c r="D17" s="5"/>
      <c r="E17" s="5"/>
    </row>
    <row r="18" spans="1:5" ht="28" customHeight="1" x14ac:dyDescent="0.35">
      <c r="A18" s="62" t="s">
        <v>193</v>
      </c>
      <c r="B18" s="63" t="s">
        <v>28</v>
      </c>
      <c r="C18" s="63" t="s">
        <v>29</v>
      </c>
      <c r="D18" s="63" t="s">
        <v>30</v>
      </c>
      <c r="E18" s="63" t="s">
        <v>31</v>
      </c>
    </row>
    <row r="19" spans="1:5" x14ac:dyDescent="0.35">
      <c r="A19" s="6" t="s">
        <v>262</v>
      </c>
      <c r="B19" s="7">
        <f>EPS_Build!D26</f>
        <v>0.29396360165236063</v>
      </c>
      <c r="C19" s="7">
        <f>EPS_Build!D51</f>
        <v>0.34688325826180255</v>
      </c>
      <c r="D19" s="7">
        <f>EPS_Build!D76</f>
        <v>0.39592848787553653</v>
      </c>
      <c r="E19" s="7">
        <f>EPS_Build!D101</f>
        <v>0.42059118304721049</v>
      </c>
    </row>
    <row r="20" spans="1:5" x14ac:dyDescent="0.35">
      <c r="A20" s="6" t="s">
        <v>263</v>
      </c>
      <c r="B20" s="7">
        <f>EPS_Build!E26</f>
        <v>0.25627402342424538</v>
      </c>
      <c r="C20" s="7">
        <f>EPS_Build!E51</f>
        <v>0.3072869828185385</v>
      </c>
      <c r="D20" s="7">
        <f>EPS_Build!E76</f>
        <v>0.35492500311063618</v>
      </c>
      <c r="E20" s="7">
        <f>EPS_Build!E101</f>
        <v>0.37928051815588626</v>
      </c>
    </row>
    <row r="21" spans="1:5" x14ac:dyDescent="0.35">
      <c r="A21" s="6" t="s">
        <v>264</v>
      </c>
      <c r="B21" s="46">
        <f>(Scenarios!B$13+(Inputs!$B$12-Scenarios!B$12)*4*(1-Inputs!$B$8)/Inputs!$B$7)/4</f>
        <v>1.3819742489270386E-2</v>
      </c>
      <c r="C21" s="46">
        <f>(Scenarios!C$13+(Inputs!$B$12-Scenarios!C$12)*4*(1-Inputs!$B$8)/Inputs!$B$7)/4</f>
        <v>1.6228540772532187E-2</v>
      </c>
      <c r="D21" s="46">
        <f>(Scenarios!D$13+(Inputs!$B$12-Scenarios!D$12)*4*(1-Inputs!$B$8)/Inputs!$B$7)/4</f>
        <v>1.863733905579399E-2</v>
      </c>
      <c r="E21" s="46">
        <f>(Scenarios!E$13+(Inputs!$B$12-Scenarios!E$12)*4*(1-Inputs!$B$8)/Inputs!$B$7)/4</f>
        <v>1.3637339055793989E-2</v>
      </c>
    </row>
    <row r="22" spans="1:5" x14ac:dyDescent="0.35">
      <c r="A22" s="6" t="s">
        <v>265</v>
      </c>
      <c r="B22" s="46">
        <f>EPS_Build!B19*(1+Scenarios!B$15)+B21</f>
        <v>0.31690748929270385</v>
      </c>
      <c r="C22" s="46">
        <f>EPS_Build!B44*(1+Scenarios!C$15)+C21</f>
        <v>0.39094528348497859</v>
      </c>
      <c r="D22" s="46">
        <f>EPS_Build!B69*(1+Scenarios!D$15)+D21</f>
        <v>0.45995486574034328</v>
      </c>
      <c r="E22" s="46">
        <f>EPS_Build!B94*(1+Scenarios!E$15)+E21</f>
        <v>0.47087181979613729</v>
      </c>
    </row>
    <row r="23" spans="1:5" x14ac:dyDescent="0.35">
      <c r="A23" s="6" t="s">
        <v>266</v>
      </c>
      <c r="B23" s="46">
        <f>EPS_Build!C19*(1+Scenarios!B$15)+B21</f>
        <v>0.28210226468326188</v>
      </c>
      <c r="C23" s="46">
        <f>EPS_Build!C44*(1+Scenarios!C$15)+C21</f>
        <v>0.35137646826609442</v>
      </c>
      <c r="D23" s="46">
        <f>EPS_Build!C69*(1+Scenarios!D$15)+D21</f>
        <v>0.41630006071566528</v>
      </c>
      <c r="E23" s="46">
        <f>EPS_Build!C94*(1+Scenarios!E$15)+E21</f>
        <v>0.42695276972103002</v>
      </c>
    </row>
    <row r="24" spans="1:5" x14ac:dyDescent="0.35">
      <c r="A24" s="64" t="s">
        <v>267</v>
      </c>
      <c r="B24" s="65">
        <f>B19+B20+B22+B23</f>
        <v>1.1492473790525717</v>
      </c>
      <c r="C24" s="65">
        <f>C19+C20+C22+C23</f>
        <v>1.3964919928314141</v>
      </c>
      <c r="D24" s="65">
        <f>D19+D20+D22+D23</f>
        <v>1.6271084174421813</v>
      </c>
      <c r="E24" s="65">
        <f>E19+E20+E22+E23</f>
        <v>1.697696290720264</v>
      </c>
    </row>
    <row r="25" spans="1:5" x14ac:dyDescent="0.35">
      <c r="A25" s="6" t="s">
        <v>268</v>
      </c>
      <c r="B25" s="46">
        <f>(EPS_Build!D19+EPS_Build!E19)*(1+Scenarios!B$15)+2*B21+(B22+B23)*(1+Scenarios!B$16)</f>
        <v>1.2671705243144</v>
      </c>
      <c r="C25" s="46">
        <f>(EPS_Build!D44+EPS_Build!E44)*(1+Scenarios!C$15)+2*C21+(C22+C23)*(1+Scenarios!C$16)</f>
        <v>1.5887493234326429</v>
      </c>
      <c r="D25" s="46">
        <f>(EPS_Build!D69+EPS_Build!E69)*(1+Scenarios!D$15)+2*D21+(D22+D23)*(1+Scenarios!D$16)</f>
        <v>1.898783787483995</v>
      </c>
      <c r="E25" s="46">
        <f>(EPS_Build!D94+EPS_Build!E94)*(1+Scenarios!E$15)+2*E21+(E22+E23)*(1+Scenarios!E$16)</f>
        <v>1.9546000627923594</v>
      </c>
    </row>
    <row r="26" spans="1:5" x14ac:dyDescent="0.35">
      <c r="A26" s="6" t="s">
        <v>269</v>
      </c>
      <c r="B26" s="34">
        <f>B25/B24-1</f>
        <v>0.10260901822464286</v>
      </c>
      <c r="C26" s="34">
        <f>C25/C24-1</f>
        <v>0.13767163119311787</v>
      </c>
      <c r="D26" s="34">
        <f>D25/D24-1</f>
        <v>0.16696820391900391</v>
      </c>
      <c r="E26" s="34">
        <f>E25/E24-1</f>
        <v>0.15132492983365209</v>
      </c>
    </row>
    <row r="29" spans="1:5" x14ac:dyDescent="0.35">
      <c r="A29" s="4" t="s">
        <v>270</v>
      </c>
      <c r="B29" s="5"/>
      <c r="C29" s="5"/>
      <c r="D29" s="5"/>
      <c r="E29" s="5"/>
    </row>
    <row r="30" spans="1:5" ht="28" customHeight="1" x14ac:dyDescent="0.35">
      <c r="A30" s="62" t="s">
        <v>193</v>
      </c>
      <c r="B30" s="63" t="s">
        <v>28</v>
      </c>
      <c r="C30" s="63" t="s">
        <v>29</v>
      </c>
      <c r="D30" s="63" t="s">
        <v>30</v>
      </c>
      <c r="E30" s="63" t="s">
        <v>31</v>
      </c>
    </row>
    <row r="31" spans="1:5" x14ac:dyDescent="0.35">
      <c r="A31" s="6" t="s">
        <v>271</v>
      </c>
      <c r="B31" s="11">
        <f>Scenarios!B$16</f>
        <v>0.03</v>
      </c>
      <c r="C31" s="11">
        <f>Scenarios!C$16</f>
        <v>0.06</v>
      </c>
      <c r="D31" s="11">
        <f>Scenarios!D$16</f>
        <v>0.09</v>
      </c>
      <c r="E31" s="11">
        <f>Scenarios!E$16</f>
        <v>0.1</v>
      </c>
    </row>
    <row r="32" spans="1:5" x14ac:dyDescent="0.35">
      <c r="A32" s="6" t="s">
        <v>164</v>
      </c>
      <c r="B32" s="11">
        <f>Scenarios!B$17</f>
        <v>0.15</v>
      </c>
      <c r="C32" s="11">
        <f>Scenarios!C$17</f>
        <v>0.2</v>
      </c>
      <c r="D32" s="11">
        <f>Scenarios!D$17</f>
        <v>0.25</v>
      </c>
      <c r="E32" s="11">
        <f>Scenarios!E$17</f>
        <v>0.25</v>
      </c>
    </row>
    <row r="33" spans="1:5" x14ac:dyDescent="0.35">
      <c r="A33" s="6" t="s">
        <v>272</v>
      </c>
      <c r="B33" s="66">
        <f>Inputs!$B$34</f>
        <v>9.7400000000000014E-2</v>
      </c>
      <c r="C33" s="66">
        <f>Inputs!$B$34</f>
        <v>9.7400000000000014E-2</v>
      </c>
      <c r="D33" s="66">
        <f>Inputs!$B$34</f>
        <v>9.7400000000000014E-2</v>
      </c>
      <c r="E33" s="66">
        <f>Inputs!$B$34</f>
        <v>9.7400000000000014E-2</v>
      </c>
    </row>
    <row r="34" spans="1:5" x14ac:dyDescent="0.35">
      <c r="A34" s="6" t="s">
        <v>273</v>
      </c>
      <c r="B34" s="11">
        <f>Inputs!$B$32</f>
        <v>0.03</v>
      </c>
      <c r="C34" s="11">
        <f>Inputs!$B$32</f>
        <v>0.03</v>
      </c>
      <c r="D34" s="11">
        <f>Inputs!$B$32</f>
        <v>0.03</v>
      </c>
      <c r="E34" s="11">
        <f>Inputs!$B$32</f>
        <v>0.03</v>
      </c>
    </row>
    <row r="35" spans="1:5" x14ac:dyDescent="0.35">
      <c r="A35" s="6" t="s">
        <v>274</v>
      </c>
      <c r="B35" s="34">
        <f>1-B26/B32</f>
        <v>0.31593987850238092</v>
      </c>
      <c r="C35" s="34">
        <f>1-C26/C32</f>
        <v>0.31164184403441064</v>
      </c>
      <c r="D35" s="34">
        <f>1-D26/D32</f>
        <v>0.33212718432398436</v>
      </c>
      <c r="E35" s="34">
        <f>1-E26/E32</f>
        <v>0.39470028066539165</v>
      </c>
    </row>
    <row r="36" spans="1:5" x14ac:dyDescent="0.35">
      <c r="A36" s="6" t="s">
        <v>275</v>
      </c>
      <c r="B36" s="34">
        <f>1-B31/B32</f>
        <v>0.8</v>
      </c>
      <c r="C36" s="34">
        <f>1-C31/C32</f>
        <v>0.7</v>
      </c>
      <c r="D36" s="34">
        <f>1-D31/D32</f>
        <v>0.64</v>
      </c>
      <c r="E36" s="34">
        <f>1-E31/E32</f>
        <v>0.6</v>
      </c>
    </row>
    <row r="37" spans="1:5" x14ac:dyDescent="0.35">
      <c r="A37" s="6" t="s">
        <v>276</v>
      </c>
      <c r="B37" s="46">
        <f>B35*B24/(1+B33)+(1-B31/B32)*(B25/(1+B33)^2+B25*(1+B31)/(1+B33)^3+B25*(1+B31)^2/(1+B33)^4+B25*(1+B31)^3/(1+B33)^5)</f>
        <v>3.40026631477346</v>
      </c>
      <c r="C37" s="46">
        <f>C35*C24/(1+C33)+(1-C31/C32)*(C25/(1+C33)^2+C25*(1+C31)/(1+C33)^3+C25*(1+C31)^2/(1+C33)^4+C25*(1+C31)^3/(1+C33)^5)</f>
        <v>3.9058839799636562</v>
      </c>
      <c r="D37" s="46">
        <f>D35*D24/(1+D33)+(1-D31/D32)*(D25/(1+D33)^2+D25*(1+D31)/(1+D33)^3+D25*(1+D31)^2/(1+D33)^4+D25*(1+D31)^3/(1+D33)^5)</f>
        <v>4.488119381633048</v>
      </c>
      <c r="E37" s="46">
        <f>E35*E24/(1+E33)+(1-E31/E32)*(E25/(1+E33)^2+E25*(1+E31)/(1+E33)^3+E25*(1+E31)^2/(1+E33)^4+E25*(1+E31)^3/(1+E33)^5)</f>
        <v>4.5197581383602614</v>
      </c>
    </row>
    <row r="38" spans="1:5" x14ac:dyDescent="0.35">
      <c r="A38" s="6" t="s">
        <v>277</v>
      </c>
      <c r="B38" s="46">
        <f>B25*(1+B31)^4*(1-B34/B32)/(B33-B34)/(1+B33)^5</f>
        <v>10.63626801403414</v>
      </c>
      <c r="C38" s="46">
        <f>C25*(1+C31)^4*(1-C34/C32)/(C33-C34)/(1+C33)^5</f>
        <v>15.893263711657108</v>
      </c>
      <c r="D38" s="46">
        <f>D25*(1+D31)^4*(1-D34/D32)/(D33-D34)/(1+D33)^5</f>
        <v>21.987684818986793</v>
      </c>
      <c r="E38" s="46">
        <f>E25*(1+E31)^4*(1-E34/E32)/(E33-E34)/(1+E33)^5</f>
        <v>23.476137544163233</v>
      </c>
    </row>
    <row r="39" spans="1:5" x14ac:dyDescent="0.35">
      <c r="A39" s="64" t="s">
        <v>278</v>
      </c>
      <c r="B39" s="65">
        <f>B37+B38</f>
        <v>14.036534328807601</v>
      </c>
      <c r="C39" s="65">
        <f>C37+C38</f>
        <v>19.799147691620764</v>
      </c>
      <c r="D39" s="65">
        <f>D37+D38</f>
        <v>26.475804200619841</v>
      </c>
      <c r="E39" s="65">
        <f>E37+E38</f>
        <v>27.995895682523496</v>
      </c>
    </row>
    <row r="40" spans="1:5" x14ac:dyDescent="0.35">
      <c r="A40" s="64" t="s">
        <v>279</v>
      </c>
      <c r="B40" s="67">
        <f>B39/B24</f>
        <v>12.213675301464844</v>
      </c>
      <c r="C40" s="67">
        <f>C39/C24</f>
        <v>14.17777387429026</v>
      </c>
      <c r="D40" s="67">
        <f>D39/D24</f>
        <v>16.271690267720373</v>
      </c>
      <c r="E40" s="67">
        <f>E39/E24</f>
        <v>16.49052061640894</v>
      </c>
    </row>
    <row r="41" spans="1:5" x14ac:dyDescent="0.35">
      <c r="A41" s="6" t="s">
        <v>280</v>
      </c>
      <c r="B41" s="46">
        <f>Inputs!$B$10*1000/Inputs!$B$7</f>
        <v>3.3047210300429186</v>
      </c>
      <c r="C41" s="46">
        <f>Inputs!$B$10*1000/Inputs!$B$7</f>
        <v>3.3047210300429186</v>
      </c>
      <c r="D41" s="46">
        <f>Inputs!$B$10*1000/Inputs!$B$7</f>
        <v>3.3047210300429186</v>
      </c>
      <c r="E41" s="46">
        <f>Inputs!$B$10*1000/Inputs!$B$7</f>
        <v>3.3047210300429186</v>
      </c>
    </row>
    <row r="42" spans="1:5" x14ac:dyDescent="0.35">
      <c r="A42" s="64" t="s">
        <v>281</v>
      </c>
      <c r="B42" s="65">
        <f>B39+B41</f>
        <v>17.341255358850521</v>
      </c>
      <c r="C42" s="65">
        <f>C39+C41</f>
        <v>23.103868721663684</v>
      </c>
      <c r="D42" s="65">
        <f>D39+D41</f>
        <v>29.780525230662761</v>
      </c>
      <c r="E42" s="65">
        <f>E39+E41</f>
        <v>31.300616712566416</v>
      </c>
    </row>
    <row r="43" spans="1:5" x14ac:dyDescent="0.35">
      <c r="A43" s="64" t="s">
        <v>282</v>
      </c>
      <c r="B43" s="68">
        <f>B42/Inputs!$B$6-1</f>
        <v>-0.3645564177775551</v>
      </c>
      <c r="C43" s="68">
        <f>C42/Inputs!$B$6-1</f>
        <v>-0.1533943304630383</v>
      </c>
      <c r="D43" s="68">
        <f>D42/Inputs!$B$6-1</f>
        <v>9.1261459533263478E-2</v>
      </c>
      <c r="E43" s="68">
        <f>E42/Inputs!$B$6-1</f>
        <v>0.14696286964332783</v>
      </c>
    </row>
    <row r="44" spans="1:5" x14ac:dyDescent="0.35">
      <c r="A44" s="64" t="s">
        <v>27</v>
      </c>
      <c r="B44" s="68">
        <f>-B43</f>
        <v>0.3645564177775551</v>
      </c>
      <c r="C44" s="68">
        <f>-C43</f>
        <v>0.1533943304630383</v>
      </c>
      <c r="D44" s="68">
        <f>-D43</f>
        <v>-9.1261459533263478E-2</v>
      </c>
      <c r="E44" s="68">
        <f>-E43</f>
        <v>-0.14696286964332783</v>
      </c>
    </row>
    <row r="45" spans="1:5" x14ac:dyDescent="0.35">
      <c r="A45" s="6" t="s">
        <v>283</v>
      </c>
      <c r="B45" s="46">
        <f>Scenarios!B$12*4*(1-Inputs!$B$8)/Inputs!$B$7</f>
        <v>7.6008583690987119E-2</v>
      </c>
      <c r="C45" s="46">
        <f>Scenarios!C$12*4*(1-Inputs!$B$8)/Inputs!$B$7</f>
        <v>8.6373390557939911E-2</v>
      </c>
      <c r="D45" s="46">
        <f>Scenarios!D$12*4*(1-Inputs!$B$8)/Inputs!$B$7</f>
        <v>9.6738197424892702E-2</v>
      </c>
      <c r="E45" s="46">
        <f>Scenarios!E$12*4*(1-Inputs!$B$8)/Inputs!$B$7</f>
        <v>9.6738197424892702E-2</v>
      </c>
    </row>
    <row r="46" spans="1:5" x14ac:dyDescent="0.35">
      <c r="A46" s="6" t="s">
        <v>284</v>
      </c>
      <c r="B46" s="69">
        <f>B42/(B24+B45)</f>
        <v>14.153169530406094</v>
      </c>
      <c r="C46" s="69">
        <f>C42/(C24+C45)</f>
        <v>15.580557062338094</v>
      </c>
      <c r="D46" s="69">
        <f>D42/(D24+D45)</f>
        <v>17.275623581486187</v>
      </c>
      <c r="E46" s="69">
        <f>E42/(E24+E45)</f>
        <v>17.443164918726431</v>
      </c>
    </row>
    <row r="49" spans="1:5" x14ac:dyDescent="0.35">
      <c r="A49" s="4" t="s">
        <v>285</v>
      </c>
      <c r="B49" s="5"/>
      <c r="C49" s="5"/>
      <c r="D49" s="5"/>
      <c r="E49" s="5"/>
    </row>
    <row r="50" spans="1:5" x14ac:dyDescent="0.35">
      <c r="A50" s="64" t="s">
        <v>286</v>
      </c>
      <c r="B50" s="65">
        <f>SUMPRODUCT(B8:E8,B42:E42)</f>
        <v>24.516189549536278</v>
      </c>
    </row>
    <row r="51" spans="1:5" x14ac:dyDescent="0.35">
      <c r="A51" s="64" t="s">
        <v>287</v>
      </c>
      <c r="B51" s="68">
        <f>B50/Inputs!$B$6-1</f>
        <v>-0.10164200991072625</v>
      </c>
    </row>
    <row r="52" spans="1:5" x14ac:dyDescent="0.35">
      <c r="A52" s="64" t="s">
        <v>13</v>
      </c>
      <c r="B52" s="68">
        <f>-B51</f>
        <v>0.10164200991072625</v>
      </c>
    </row>
    <row r="53" spans="1:5" x14ac:dyDescent="0.35">
      <c r="A53" s="64" t="s">
        <v>288</v>
      </c>
      <c r="B53" s="65">
        <f>C42</f>
        <v>23.103868721663684</v>
      </c>
    </row>
    <row r="54" spans="1:5" x14ac:dyDescent="0.35">
      <c r="A54" s="64" t="s">
        <v>289</v>
      </c>
      <c r="B54" s="68">
        <f>C43</f>
        <v>-0.1533943304630383</v>
      </c>
    </row>
    <row r="55" spans="1:5" x14ac:dyDescent="0.35">
      <c r="A55" s="64" t="s">
        <v>290</v>
      </c>
      <c r="B55" s="68">
        <f>E43</f>
        <v>0.14696286964332783</v>
      </c>
    </row>
    <row r="57" spans="1:5" x14ac:dyDescent="0.35">
      <c r="A57" s="4" t="s">
        <v>291</v>
      </c>
      <c r="B57" s="5"/>
      <c r="C57" s="5"/>
      <c r="D57" s="5"/>
      <c r="E57" s="5"/>
    </row>
    <row r="58" spans="1:5" x14ac:dyDescent="0.35">
      <c r="A58" s="48" t="s">
        <v>292</v>
      </c>
      <c r="B58" s="52">
        <f>D24</f>
        <v>1.6271084174421813</v>
      </c>
      <c r="C58" s="41"/>
      <c r="D58" s="41"/>
      <c r="E58" s="41"/>
    </row>
    <row r="59" spans="1:5" x14ac:dyDescent="0.35">
      <c r="A59" s="48" t="s">
        <v>293</v>
      </c>
      <c r="B59" s="52">
        <f>D25</f>
        <v>1.898783787483995</v>
      </c>
      <c r="C59" s="41"/>
      <c r="D59" s="41"/>
      <c r="E59" s="41"/>
    </row>
    <row r="60" spans="1:5" x14ac:dyDescent="0.35">
      <c r="A60" s="48" t="s">
        <v>294</v>
      </c>
      <c r="B60" s="70">
        <f>D31</f>
        <v>0.09</v>
      </c>
      <c r="C60" s="41"/>
      <c r="D60" s="41"/>
      <c r="E60" s="41"/>
    </row>
    <row r="61" spans="1:5" x14ac:dyDescent="0.35">
      <c r="A61" s="48" t="s">
        <v>295</v>
      </c>
      <c r="B61" s="70">
        <f>D32</f>
        <v>0.25</v>
      </c>
      <c r="C61" s="41"/>
      <c r="D61" s="41"/>
      <c r="E61" s="41"/>
    </row>
    <row r="62" spans="1:5" x14ac:dyDescent="0.35">
      <c r="A62" s="48" t="s">
        <v>296</v>
      </c>
      <c r="B62" s="71">
        <f>Inputs!$B$35</f>
        <v>8.0000000000000016E-2</v>
      </c>
      <c r="C62" s="41"/>
      <c r="D62" s="41"/>
      <c r="E62" s="41"/>
    </row>
    <row r="63" spans="1:5" x14ac:dyDescent="0.35">
      <c r="A63" s="48" t="s">
        <v>297</v>
      </c>
      <c r="B63" s="52">
        <f>(1-(B59/B58-1)/B61)*B58/(1+B62)+(1-B60/B61)*(B59/(1+B62)^2+B59*(1+B60)/(1+B62)^3+B59*(1+B60)^2/(1+B62)^4+B59*(1+B60)^3/(1+B62)^5)+B59*(1+B60)^4*(1-Inputs!$B$32/B61)/(B62-Inputs!$B$32)/(1+B62)^5</f>
        <v>36.831243812019508</v>
      </c>
      <c r="C63" s="41"/>
      <c r="D63" s="41"/>
      <c r="E63" s="41"/>
    </row>
    <row r="64" spans="1:5" x14ac:dyDescent="0.35">
      <c r="A64" s="39" t="s">
        <v>298</v>
      </c>
      <c r="B64" s="54">
        <f>B63+D41</f>
        <v>40.135964842062428</v>
      </c>
      <c r="C64" s="41"/>
      <c r="D64" s="41"/>
      <c r="E64" s="41"/>
    </row>
    <row r="65" spans="1:5" x14ac:dyDescent="0.35">
      <c r="A65" s="39" t="s">
        <v>299</v>
      </c>
      <c r="B65" s="40">
        <f>B64/Inputs!$B$6-1</f>
        <v>0.47072058783665915</v>
      </c>
      <c r="C65" s="41"/>
      <c r="D65" s="41"/>
      <c r="E65" s="41"/>
    </row>
    <row r="67" spans="1:5" x14ac:dyDescent="0.35">
      <c r="A67" s="4" t="s">
        <v>300</v>
      </c>
      <c r="B67" s="5"/>
      <c r="C67" s="5"/>
      <c r="D67" s="5"/>
      <c r="E67" s="5"/>
    </row>
    <row r="68" spans="1:5" x14ac:dyDescent="0.35">
      <c r="A68" s="48" t="s">
        <v>301</v>
      </c>
      <c r="B68" s="72">
        <f>(Inputs!$B$6-Inputs!$B$9*1000/Inputs!$B$7)/(Consensus!C9-Inputs!$B$11*0.6*(1-Inputs!$B$8)/Inputs!$B$7)</f>
        <v>14.728931576715123</v>
      </c>
      <c r="C68" s="41"/>
      <c r="D68" s="41"/>
      <c r="E68" s="41"/>
    </row>
    <row r="69" spans="1:5" x14ac:dyDescent="0.35">
      <c r="A69" s="48" t="s">
        <v>302</v>
      </c>
      <c r="B69" s="70">
        <f>($B$68*B24+B41)/Inputs!$B$6-1</f>
        <v>-0.25863294097371059</v>
      </c>
      <c r="C69" s="70">
        <f>($B$68*C24+C41)/Inputs!$B$6-1</f>
        <v>-0.12519032466517532</v>
      </c>
      <c r="D69" s="70">
        <f>($B$68*D24+D41)/Inputs!$B$6-1</f>
        <v>-7.2225802689496188E-4</v>
      </c>
      <c r="E69" s="70">
        <f>($B$68*E24+E41)/Inputs!$B$6-1</f>
        <v>3.737535852344287E-2</v>
      </c>
    </row>
    <row r="70" spans="1:5" x14ac:dyDescent="0.35">
      <c r="A70" s="39" t="s">
        <v>15</v>
      </c>
      <c r="B70" s="40">
        <f>-SUMPRODUCT(B8:E8,B69:E69)</f>
        <v>0.10260038212093359</v>
      </c>
      <c r="C70" s="41"/>
      <c r="D70" s="41"/>
      <c r="E70" s="41"/>
    </row>
    <row r="72" spans="1:5" x14ac:dyDescent="0.35">
      <c r="A72" s="20" t="s">
        <v>34</v>
      </c>
    </row>
    <row r="73" spans="1:5" x14ac:dyDescent="0.35">
      <c r="A73" s="20" t="s">
        <v>303</v>
      </c>
    </row>
    <row r="74" spans="1:5" x14ac:dyDescent="0.35">
      <c r="A74" s="20" t="s">
        <v>304</v>
      </c>
    </row>
  </sheetData>
  <mergeCells count="2">
    <mergeCell ref="A2:E2"/>
    <mergeCell ref="A4:E4"/>
  </mergeCells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85"/>
  <sheetViews>
    <sheetView showGridLines="0" workbookViewId="0">
      <selection activeCell="G50" sqref="G50"/>
    </sheetView>
  </sheetViews>
  <sheetFormatPr defaultRowHeight="14.5" x14ac:dyDescent="0.35"/>
  <cols>
    <col min="1" max="1" width="50" customWidth="1"/>
    <col min="2" max="13" width="12" customWidth="1"/>
  </cols>
  <sheetData>
    <row r="1" spans="1:13" ht="18" x14ac:dyDescent="0.35">
      <c r="A1" s="1" t="s">
        <v>305</v>
      </c>
    </row>
    <row r="2" spans="1:13" x14ac:dyDescent="0.35">
      <c r="A2" s="3" t="s">
        <v>306</v>
      </c>
    </row>
    <row r="4" spans="1:13" x14ac:dyDescent="0.35">
      <c r="A4" s="4" t="s">
        <v>307</v>
      </c>
      <c r="B4" s="5"/>
      <c r="C4" s="5"/>
      <c r="D4" s="5"/>
      <c r="E4" s="5"/>
      <c r="F4" s="5"/>
    </row>
    <row r="5" spans="1:13" x14ac:dyDescent="0.35">
      <c r="A5" s="14" t="s">
        <v>308</v>
      </c>
      <c r="B5" s="15" t="s">
        <v>309</v>
      </c>
      <c r="C5" s="15" t="s">
        <v>310</v>
      </c>
      <c r="D5" s="15" t="s">
        <v>311</v>
      </c>
    </row>
    <row r="6" spans="1:13" x14ac:dyDescent="0.35">
      <c r="A6" s="17" t="s">
        <v>312</v>
      </c>
    </row>
    <row r="7" spans="1:13" x14ac:dyDescent="0.35">
      <c r="A7" s="48" t="s">
        <v>313</v>
      </c>
      <c r="B7" s="52">
        <f>I73</f>
        <v>0.38581195181866934</v>
      </c>
      <c r="C7" s="52">
        <f>I74</f>
        <v>0.38129607456545056</v>
      </c>
      <c r="D7" s="52">
        <f>I75</f>
        <v>0.37678019731223161</v>
      </c>
      <c r="E7" s="41"/>
      <c r="F7" s="41"/>
      <c r="G7" s="41"/>
      <c r="H7" s="41"/>
      <c r="I7" s="41"/>
      <c r="J7" s="41"/>
      <c r="K7" s="41"/>
      <c r="L7" s="41"/>
      <c r="M7" s="41"/>
    </row>
    <row r="8" spans="1:13" x14ac:dyDescent="0.35">
      <c r="A8" s="48" t="s">
        <v>314</v>
      </c>
      <c r="B8" s="52">
        <f>I76</f>
        <v>0.37269105729613738</v>
      </c>
      <c r="C8" s="54">
        <f>I77</f>
        <v>0.36739040869098716</v>
      </c>
      <c r="D8" s="52">
        <f>I78</f>
        <v>0.36208976008583688</v>
      </c>
      <c r="E8" s="41"/>
      <c r="F8" s="41"/>
      <c r="G8" s="41"/>
      <c r="H8" s="41"/>
      <c r="I8" s="41"/>
      <c r="J8" s="41"/>
      <c r="K8" s="41"/>
      <c r="L8" s="41"/>
      <c r="M8" s="41"/>
    </row>
    <row r="9" spans="1:13" x14ac:dyDescent="0.35">
      <c r="A9" s="48" t="s">
        <v>315</v>
      </c>
      <c r="B9" s="52">
        <f>I79</f>
        <v>0.3595701627736051</v>
      </c>
      <c r="C9" s="52">
        <f>I80</f>
        <v>0.35348474281652353</v>
      </c>
      <c r="D9" s="52">
        <f>I81</f>
        <v>0.34739932285944192</v>
      </c>
      <c r="E9" s="41"/>
      <c r="F9" s="41"/>
      <c r="G9" s="41"/>
      <c r="H9" s="41"/>
      <c r="I9" s="41"/>
      <c r="J9" s="41"/>
      <c r="K9" s="41"/>
      <c r="L9" s="41"/>
      <c r="M9" s="41"/>
    </row>
    <row r="11" spans="1:13" x14ac:dyDescent="0.35">
      <c r="A11" s="17" t="s">
        <v>255</v>
      </c>
    </row>
    <row r="12" spans="1:13" x14ac:dyDescent="0.35">
      <c r="A12" s="48" t="s">
        <v>313</v>
      </c>
      <c r="B12" s="52">
        <f>J73</f>
        <v>1.523891325237043</v>
      </c>
      <c r="C12" s="52">
        <f>J74</f>
        <v>1.5080710378055842</v>
      </c>
      <c r="D12" s="52">
        <f>J75</f>
        <v>1.4922507503741251</v>
      </c>
      <c r="E12" s="41"/>
      <c r="F12" s="41"/>
      <c r="G12" s="41"/>
      <c r="H12" s="41"/>
      <c r="I12" s="41"/>
      <c r="J12" s="41"/>
      <c r="K12" s="41"/>
      <c r="L12" s="41"/>
      <c r="M12" s="41"/>
    </row>
    <row r="13" spans="1:13" x14ac:dyDescent="0.35">
      <c r="A13" s="48" t="s">
        <v>314</v>
      </c>
      <c r="B13" s="52">
        <f>J76</f>
        <v>1.4712163922261734</v>
      </c>
      <c r="C13" s="54">
        <f>J77</f>
        <v>1.452087424395792</v>
      </c>
      <c r="D13" s="52">
        <f>J78</f>
        <v>1.4329584565654099</v>
      </c>
      <c r="E13" s="41"/>
      <c r="F13" s="41"/>
      <c r="G13" s="41"/>
      <c r="H13" s="41"/>
      <c r="I13" s="41"/>
      <c r="J13" s="41"/>
      <c r="K13" s="41"/>
      <c r="L13" s="41"/>
      <c r="M13" s="41"/>
    </row>
    <row r="14" spans="1:13" x14ac:dyDescent="0.35">
      <c r="A14" s="48" t="s">
        <v>315</v>
      </c>
      <c r="B14" s="52">
        <f>J79</f>
        <v>1.4185414592153029</v>
      </c>
      <c r="C14" s="52">
        <f>J80</f>
        <v>1.3961038109859987</v>
      </c>
      <c r="D14" s="52">
        <f>J81</f>
        <v>1.373666162756694</v>
      </c>
      <c r="E14" s="41"/>
      <c r="F14" s="41"/>
      <c r="G14" s="41"/>
      <c r="H14" s="41"/>
      <c r="I14" s="41"/>
      <c r="J14" s="41"/>
      <c r="K14" s="41"/>
      <c r="L14" s="41"/>
      <c r="M14" s="41"/>
    </row>
    <row r="16" spans="1:13" x14ac:dyDescent="0.35">
      <c r="A16" s="17" t="s">
        <v>288</v>
      </c>
    </row>
    <row r="17" spans="1:13" x14ac:dyDescent="0.35">
      <c r="A17" s="48" t="s">
        <v>313</v>
      </c>
      <c r="B17" s="52">
        <f>M73</f>
        <v>24.154433712937198</v>
      </c>
      <c r="C17" s="52">
        <f>M74</f>
        <v>23.921746298175826</v>
      </c>
      <c r="D17" s="52">
        <f>M75</f>
        <v>23.68905888341445</v>
      </c>
      <c r="E17" s="41"/>
      <c r="F17" s="41"/>
      <c r="G17" s="41"/>
      <c r="H17" s="41"/>
      <c r="I17" s="41"/>
      <c r="J17" s="41"/>
      <c r="K17" s="41"/>
      <c r="L17" s="41"/>
      <c r="M17" s="41"/>
    </row>
    <row r="18" spans="1:13" x14ac:dyDescent="0.35">
      <c r="A18" s="48" t="s">
        <v>314</v>
      </c>
      <c r="B18" s="52">
        <f>M76</f>
        <v>23.384848354402827</v>
      </c>
      <c r="C18" s="54">
        <f>M77</f>
        <v>23.103868721663684</v>
      </c>
      <c r="D18" s="52">
        <f>M78</f>
        <v>22.822889088924541</v>
      </c>
      <c r="E18" s="41"/>
      <c r="F18" s="41"/>
      <c r="G18" s="41"/>
      <c r="H18" s="41"/>
      <c r="I18" s="41"/>
      <c r="J18" s="41"/>
      <c r="K18" s="41"/>
      <c r="L18" s="41"/>
      <c r="M18" s="41"/>
    </row>
    <row r="19" spans="1:13" x14ac:dyDescent="0.35">
      <c r="A19" s="48" t="s">
        <v>315</v>
      </c>
      <c r="B19" s="52">
        <f>M79</f>
        <v>22.615262995868441</v>
      </c>
      <c r="C19" s="52">
        <f>M80</f>
        <v>22.285991145151538</v>
      </c>
      <c r="D19" s="52">
        <f>M81</f>
        <v>21.956719294434627</v>
      </c>
      <c r="E19" s="41"/>
      <c r="F19" s="41"/>
      <c r="G19" s="41"/>
      <c r="H19" s="41"/>
      <c r="I19" s="41"/>
      <c r="J19" s="41"/>
      <c r="K19" s="41"/>
      <c r="L19" s="41"/>
      <c r="M19" s="41"/>
    </row>
    <row r="21" spans="1:13" x14ac:dyDescent="0.35">
      <c r="A21" s="4" t="s">
        <v>316</v>
      </c>
      <c r="B21" s="5"/>
      <c r="C21" s="5"/>
      <c r="D21" s="5"/>
      <c r="E21" s="5"/>
      <c r="F21" s="5"/>
    </row>
    <row r="22" spans="1:13" ht="28" customHeight="1" x14ac:dyDescent="0.35">
      <c r="A22" s="14" t="s">
        <v>317</v>
      </c>
      <c r="B22" s="15" t="s">
        <v>318</v>
      </c>
      <c r="C22" s="15" t="s">
        <v>22</v>
      </c>
      <c r="D22" s="15" t="s">
        <v>319</v>
      </c>
      <c r="E22" s="15" t="s">
        <v>27</v>
      </c>
    </row>
    <row r="23" spans="1:13" x14ac:dyDescent="0.35">
      <c r="A23" s="48" t="s">
        <v>320</v>
      </c>
      <c r="B23" s="52">
        <f>I74</f>
        <v>0.38129607456545056</v>
      </c>
      <c r="C23" s="52">
        <f>J74</f>
        <v>1.5080710378055842</v>
      </c>
      <c r="D23" s="52">
        <f>M74</f>
        <v>23.921746298175826</v>
      </c>
      <c r="E23" s="70">
        <f>-(D23/Inputs!$B$6-1)</f>
        <v>0.12342446690451347</v>
      </c>
      <c r="F23" s="41"/>
      <c r="G23" s="41"/>
      <c r="H23" s="41"/>
      <c r="I23" s="41"/>
      <c r="J23" s="41"/>
      <c r="K23" s="41"/>
      <c r="L23" s="41"/>
      <c r="M23" s="41"/>
    </row>
    <row r="24" spans="1:13" x14ac:dyDescent="0.35">
      <c r="A24" s="48" t="s">
        <v>321</v>
      </c>
      <c r="B24" s="52">
        <f>I77</f>
        <v>0.36739040869098716</v>
      </c>
      <c r="C24" s="52">
        <f>J77</f>
        <v>1.452087424395792</v>
      </c>
      <c r="D24" s="54">
        <f>M77</f>
        <v>23.103868721663684</v>
      </c>
      <c r="E24" s="70">
        <f>-(D24/Inputs!$B$6-1)</f>
        <v>0.1533943304630383</v>
      </c>
      <c r="F24" s="41"/>
      <c r="G24" s="41"/>
      <c r="H24" s="41"/>
      <c r="I24" s="41"/>
      <c r="J24" s="41"/>
      <c r="K24" s="41"/>
      <c r="L24" s="41"/>
      <c r="M24" s="41"/>
    </row>
    <row r="25" spans="1:13" x14ac:dyDescent="0.35">
      <c r="A25" s="48" t="s">
        <v>322</v>
      </c>
      <c r="B25" s="52">
        <f>I80</f>
        <v>0.35348474281652353</v>
      </c>
      <c r="C25" s="52">
        <f>J80</f>
        <v>1.3961038109859987</v>
      </c>
      <c r="D25" s="52">
        <f>M80</f>
        <v>22.285991145151538</v>
      </c>
      <c r="E25" s="70">
        <f>-(D25/Inputs!$B$6-1)</f>
        <v>0.18336419402156323</v>
      </c>
      <c r="F25" s="41"/>
      <c r="G25" s="41"/>
      <c r="H25" s="41"/>
      <c r="I25" s="41"/>
      <c r="J25" s="41"/>
      <c r="K25" s="41"/>
      <c r="L25" s="41"/>
      <c r="M25" s="41"/>
    </row>
    <row r="27" spans="1:13" x14ac:dyDescent="0.35">
      <c r="A27" s="4" t="s">
        <v>323</v>
      </c>
      <c r="B27" s="5"/>
      <c r="C27" s="5"/>
      <c r="D27" s="5"/>
      <c r="E27" s="5"/>
      <c r="F27" s="5"/>
    </row>
    <row r="28" spans="1:13" ht="28" customHeight="1" x14ac:dyDescent="0.35">
      <c r="A28" s="14" t="s">
        <v>324</v>
      </c>
      <c r="B28" s="15" t="s">
        <v>318</v>
      </c>
      <c r="C28" s="15" t="s">
        <v>22</v>
      </c>
      <c r="D28" s="15" t="s">
        <v>319</v>
      </c>
      <c r="E28" s="15" t="s">
        <v>27</v>
      </c>
    </row>
    <row r="29" spans="1:13" x14ac:dyDescent="0.35">
      <c r="A29" s="48" t="s">
        <v>325</v>
      </c>
      <c r="B29" s="52">
        <f t="shared" ref="B29:C32" si="0">I82</f>
        <v>0.36584601815879259</v>
      </c>
      <c r="C29" s="52">
        <f t="shared" si="0"/>
        <v>1.4460585789509979</v>
      </c>
      <c r="D29" s="52">
        <f>M82</f>
        <v>23.14130297560957</v>
      </c>
      <c r="E29" s="70">
        <f>-(D29/Inputs!$B$6-1)</f>
        <v>0.15202260990804062</v>
      </c>
      <c r="F29" s="41"/>
      <c r="G29" s="41"/>
      <c r="H29" s="41"/>
      <c r="I29" s="41"/>
      <c r="J29" s="41"/>
      <c r="K29" s="41"/>
      <c r="L29" s="41"/>
      <c r="M29" s="41"/>
    </row>
    <row r="30" spans="1:13" x14ac:dyDescent="0.35">
      <c r="A30" s="48" t="s">
        <v>326</v>
      </c>
      <c r="B30" s="52">
        <f t="shared" si="0"/>
        <v>0.36739040869098716</v>
      </c>
      <c r="C30" s="52">
        <f t="shared" si="0"/>
        <v>1.452087424395792</v>
      </c>
      <c r="D30" s="54">
        <f>M83</f>
        <v>23.103868721663684</v>
      </c>
      <c r="E30" s="70">
        <f>-(D30/Inputs!$B$6-1)</f>
        <v>0.1533943304630383</v>
      </c>
      <c r="F30" s="41"/>
      <c r="G30" s="41"/>
      <c r="H30" s="41"/>
      <c r="I30" s="41"/>
      <c r="J30" s="41"/>
      <c r="K30" s="41"/>
      <c r="L30" s="41"/>
      <c r="M30" s="41"/>
    </row>
    <row r="31" spans="1:13" x14ac:dyDescent="0.35">
      <c r="A31" s="48" t="s">
        <v>327</v>
      </c>
      <c r="B31" s="52">
        <f t="shared" si="0"/>
        <v>0.3677806579114879</v>
      </c>
      <c r="C31" s="52">
        <f t="shared" si="0"/>
        <v>1.4536108423307665</v>
      </c>
      <c r="D31" s="52">
        <f>M84</f>
        <v>23.094409528462304</v>
      </c>
      <c r="E31" s="70">
        <f>-(D31/Inputs!$B$6-1)</f>
        <v>0.15374094802263449</v>
      </c>
      <c r="F31" s="41"/>
      <c r="G31" s="41"/>
      <c r="H31" s="41"/>
      <c r="I31" s="41"/>
      <c r="J31" s="41"/>
      <c r="K31" s="41"/>
      <c r="L31" s="41"/>
      <c r="M31" s="41"/>
    </row>
    <row r="32" spans="1:13" x14ac:dyDescent="0.35">
      <c r="A32" s="48" t="s">
        <v>328</v>
      </c>
      <c r="B32" s="52">
        <f t="shared" si="0"/>
        <v>0.36975735505011137</v>
      </c>
      <c r="C32" s="52">
        <f t="shared" si="0"/>
        <v>1.4613272853492258</v>
      </c>
      <c r="D32" s="52">
        <f>M85</f>
        <v>23.046496658550975</v>
      </c>
      <c r="E32" s="70">
        <f>-(D32/Inputs!$B$6-1)</f>
        <v>0.15549664131363228</v>
      </c>
      <c r="F32" s="41"/>
      <c r="G32" s="41"/>
      <c r="H32" s="41"/>
      <c r="I32" s="41"/>
      <c r="J32" s="41"/>
      <c r="K32" s="41"/>
      <c r="L32" s="41"/>
      <c r="M32" s="41"/>
    </row>
    <row r="34" spans="1:13" x14ac:dyDescent="0.35">
      <c r="A34" s="4" t="s">
        <v>329</v>
      </c>
      <c r="B34" s="5"/>
      <c r="C34" s="5"/>
      <c r="D34" s="5"/>
      <c r="E34" s="5"/>
      <c r="F34" s="5"/>
    </row>
    <row r="35" spans="1:13" ht="28" customHeight="1" x14ac:dyDescent="0.35">
      <c r="A35" s="14" t="s">
        <v>330</v>
      </c>
      <c r="B35" s="15" t="s">
        <v>331</v>
      </c>
      <c r="C35" s="15" t="s">
        <v>105</v>
      </c>
      <c r="D35" s="15" t="s">
        <v>319</v>
      </c>
      <c r="E35" s="15" t="s">
        <v>13</v>
      </c>
    </row>
    <row r="36" spans="1:13" x14ac:dyDescent="0.35">
      <c r="A36" s="48" t="s">
        <v>332</v>
      </c>
      <c r="B36" s="73">
        <v>-0.01</v>
      </c>
      <c r="C36" s="74">
        <f>Inputs!$B$34+B36</f>
        <v>8.7400000000000019E-2</v>
      </c>
      <c r="D36" s="52">
        <f>((1-((Valuation!$C$25)/(Valuation!$C$24)-1)/Valuation!$C$32)*(Valuation!$C$24)/(1+$C36)+(1-Valuation!$C$31/Valuation!$C$32)*((Valuation!$C$25)/(1+$C36)^2+(Valuation!$C$25)*(1+Valuation!$C$31)/(1+$C36)^3+(Valuation!$C$25)*(1+Valuation!$C$31)^2/(1+$C36)^4+(Valuation!$C$25)*(1+Valuation!$C$31)^3/(1+$C36)^5)+(Valuation!$C$25)*(1+Valuation!$C$31)^4*(1-Valuation!$C$34/Valuation!$C$32)/($C36-Valuation!$C$34)/(1+$C36)^5+Valuation!$C$41)</f>
        <v>26.863423767286154</v>
      </c>
      <c r="E36" s="70">
        <f>-(Valuation!B8*(((1-((Valuation!$B$25)/(Valuation!$B$24)-1)/Valuation!$B$32)*(Valuation!$B$24)/(1+$C36)+(1-Valuation!$B$31/Valuation!$B$32)*((Valuation!$B$25)/(1+$C36)^2+(Valuation!$B$25)*(1+Valuation!$B$31)/(1+$C36)^3+(Valuation!$B$25)*(1+Valuation!$B$31)^2/(1+$C36)^4+(Valuation!$B$25)*(1+Valuation!$B$31)^3/(1+$C36)^5)+(Valuation!$B$25)*(1+Valuation!$B$31)^4*(1-Valuation!$B$34/Valuation!$B$32)/($C36-Valuation!$B$34)/(1+$C36)^5+Valuation!$B$41)/Inputs!$B$6-1)+Valuation!C8*(((1-((Valuation!$C$25)/(Valuation!$C$24)-1)/Valuation!$C$32)*(Valuation!$C$24)/(1+$C36)+(1-Valuation!$C$31/Valuation!$C$32)*((Valuation!$C$25)/(1+$C36)^2+(Valuation!$C$25)*(1+Valuation!$C$31)/(1+$C36)^3+(Valuation!$C$25)*(1+Valuation!$C$31)^2/(1+$C36)^4+(Valuation!$C$25)*(1+Valuation!$C$31)^3/(1+$C36)^5)+(Valuation!$C$25)*(1+Valuation!$C$31)^4*(1-Valuation!$C$34/Valuation!$C$32)/($C36-Valuation!$C$34)/(1+$C36)^5+Valuation!$C$41)/Inputs!$B$6-1)+Valuation!D8*(((1-((Valuation!$D$25)/(Valuation!$D$24)-1)/Valuation!$D$32)*(Valuation!$D$24)/(1+$C36)+(1-Valuation!$D$31/Valuation!$D$32)*((Valuation!$D$25)/(1+$C36)^2+(Valuation!$D$25)*(1+Valuation!$D$31)/(1+$C36)^3+(Valuation!$D$25)*(1+Valuation!$D$31)^2/(1+$C36)^4+(Valuation!$D$25)*(1+Valuation!$D$31)^3/(1+$C36)^5)+(Valuation!$D$25)*(1+Valuation!$D$31)^4*(1-Valuation!$D$34/Valuation!$D$32)/($C36-Valuation!$D$34)/(1+$C36)^5+Valuation!$D$41)/Inputs!$B$6-1)+Valuation!E8*(((1-((Valuation!$E$25)/(Valuation!$E$24)-1)/Valuation!$E$32)*(Valuation!$E$24)/(1+$C36)+(1-Valuation!$E$31/Valuation!$E$32)*((Valuation!$E$25)/(1+$C36)^2+(Valuation!$E$25)*(1+Valuation!$E$31)/(1+$C36)^3+(Valuation!$E$25)*(1+Valuation!$E$31)^2/(1+$C36)^4+(Valuation!$E$25)*(1+Valuation!$E$31)^3/(1+$C36)^5)+(Valuation!$E$25)*(1+Valuation!$E$31)^4*(1-Valuation!$E$34/Valuation!$E$32)/($C36-Valuation!$E$34)/(1+$C36)^5+Valuation!$E$41)/Inputs!$B$6-1))</f>
        <v>-4.718718183998459E-2</v>
      </c>
      <c r="F36" s="41"/>
      <c r="G36" s="41"/>
      <c r="H36" s="41"/>
      <c r="I36" s="41"/>
      <c r="J36" s="41"/>
      <c r="K36" s="41"/>
      <c r="L36" s="41"/>
      <c r="M36" s="41"/>
    </row>
    <row r="37" spans="1:13" x14ac:dyDescent="0.35">
      <c r="A37" s="48" t="s">
        <v>333</v>
      </c>
      <c r="B37" s="73">
        <v>-5.0000000000000001E-3</v>
      </c>
      <c r="C37" s="74">
        <f>Inputs!$B$34+B37</f>
        <v>9.240000000000001E-2</v>
      </c>
      <c r="D37" s="52">
        <f>((1-((Valuation!$C$25)/(Valuation!$C$24)-1)/Valuation!$C$32)*(Valuation!$C$24)/(1+$C37)+(1-Valuation!$C$31/Valuation!$C$32)*((Valuation!$C$25)/(1+$C37)^2+(Valuation!$C$25)*(1+Valuation!$C$31)/(1+$C37)^3+(Valuation!$C$25)*(1+Valuation!$C$31)^2/(1+$C37)^4+(Valuation!$C$25)*(1+Valuation!$C$31)^3/(1+$C37)^5)+(Valuation!$C$25)*(1+Valuation!$C$31)^4*(1-Valuation!$C$34/Valuation!$C$32)/($C37-Valuation!$C$34)/(1+$C37)^5+Valuation!$C$41)</f>
        <v>24.831545102091827</v>
      </c>
      <c r="E37" s="70">
        <f>-(Valuation!B8*(((1-((Valuation!$B$25)/(Valuation!$B$24)-1)/Valuation!$B$32)*(Valuation!$B$24)/(1+$C37)+(1-Valuation!$B$31/Valuation!$B$32)*((Valuation!$B$25)/(1+$C37)^2+(Valuation!$B$25)*(1+Valuation!$B$31)/(1+$C37)^3+(Valuation!$B$25)*(1+Valuation!$B$31)^2/(1+$C37)^4+(Valuation!$B$25)*(1+Valuation!$B$31)^3/(1+$C37)^5)+(Valuation!$B$25)*(1+Valuation!$B$31)^4*(1-Valuation!$B$34/Valuation!$B$32)/($C37-Valuation!$B$34)/(1+$C37)^5+Valuation!$B$41)/Inputs!$B$6-1)+Valuation!C8*(((1-((Valuation!$C$25)/(Valuation!$C$24)-1)/Valuation!$C$32)*(Valuation!$C$24)/(1+$C37)+(1-Valuation!$C$31/Valuation!$C$32)*((Valuation!$C$25)/(1+$C37)^2+(Valuation!$C$25)*(1+Valuation!$C$31)/(1+$C37)^3+(Valuation!$C$25)*(1+Valuation!$C$31)^2/(1+$C37)^4+(Valuation!$C$25)*(1+Valuation!$C$31)^3/(1+$C37)^5)+(Valuation!$C$25)*(1+Valuation!$C$31)^4*(1-Valuation!$C$34/Valuation!$C$32)/($C37-Valuation!$C$34)/(1+$C37)^5+Valuation!$C$41)/Inputs!$B$6-1)+Valuation!D8*(((1-((Valuation!$D$25)/(Valuation!$D$24)-1)/Valuation!$D$32)*(Valuation!$D$24)/(1+$C37)+(1-Valuation!$D$31/Valuation!$D$32)*((Valuation!$D$25)/(1+$C37)^2+(Valuation!$D$25)*(1+Valuation!$D$31)/(1+$C37)^3+(Valuation!$D$25)*(1+Valuation!$D$31)^2/(1+$C37)^4+(Valuation!$D$25)*(1+Valuation!$D$31)^3/(1+$C37)^5)+(Valuation!$D$25)*(1+Valuation!$D$31)^4*(1-Valuation!$D$34/Valuation!$D$32)/($C37-Valuation!$D$34)/(1+$C37)^5+Valuation!$D$41)/Inputs!$B$6-1)+Valuation!E8*(((1-((Valuation!$E$25)/(Valuation!$E$24)-1)/Valuation!$E$32)*(Valuation!$E$24)/(1+$C37)+(1-Valuation!$E$31/Valuation!$E$32)*((Valuation!$E$25)/(1+$C37)^2+(Valuation!$E$25)*(1+Valuation!$E$31)/(1+$C37)^3+(Valuation!$E$25)*(1+Valuation!$E$31)^2/(1+$C37)^4+(Valuation!$E$25)*(1+Valuation!$E$31)^3/(1+$C37)^5)+(Valuation!$E$25)*(1+Valuation!$E$31)^4*(1-Valuation!$E$34/Valuation!$E$32)/($C37-Valuation!$E$34)/(1+$C37)^5+Valuation!$E$41)/Inputs!$B$6-1))</f>
        <v>3.3257222251441884E-2</v>
      </c>
      <c r="F37" s="41"/>
      <c r="G37" s="41"/>
      <c r="H37" s="41"/>
      <c r="I37" s="41"/>
      <c r="J37" s="41"/>
      <c r="K37" s="41"/>
      <c r="L37" s="41"/>
      <c r="M37" s="41"/>
    </row>
    <row r="38" spans="1:13" x14ac:dyDescent="0.35">
      <c r="A38" s="48" t="s">
        <v>334</v>
      </c>
      <c r="B38" s="73">
        <v>0</v>
      </c>
      <c r="C38" s="74">
        <f>Inputs!$B$34+B38</f>
        <v>9.7400000000000014E-2</v>
      </c>
      <c r="D38" s="52">
        <f>((1-((Valuation!$C$25)/(Valuation!$C$24)-1)/Valuation!$C$32)*(Valuation!$C$24)/(1+$C38)+(1-Valuation!$C$31/Valuation!$C$32)*((Valuation!$C$25)/(1+$C38)^2+(Valuation!$C$25)*(1+Valuation!$C$31)/(1+$C38)^3+(Valuation!$C$25)*(1+Valuation!$C$31)^2/(1+$C38)^4+(Valuation!$C$25)*(1+Valuation!$C$31)^3/(1+$C38)^5)+(Valuation!$C$25)*(1+Valuation!$C$31)^4*(1-Valuation!$C$34/Valuation!$C$32)/($C38-Valuation!$C$34)/(1+$C38)^5+Valuation!$C$41)</f>
        <v>23.103868721663684</v>
      </c>
      <c r="E38" s="40">
        <f>-(Valuation!B8*(((1-((Valuation!$B$25)/(Valuation!$B$24)-1)/Valuation!$B$32)*(Valuation!$B$24)/(1+$C38)+(1-Valuation!$B$31/Valuation!$B$32)*((Valuation!$B$25)/(1+$C38)^2+(Valuation!$B$25)*(1+Valuation!$B$31)/(1+$C38)^3+(Valuation!$B$25)*(1+Valuation!$B$31)^2/(1+$C38)^4+(Valuation!$B$25)*(1+Valuation!$B$31)^3/(1+$C38)^5)+(Valuation!$B$25)*(1+Valuation!$B$31)^4*(1-Valuation!$B$34/Valuation!$B$32)/($C38-Valuation!$B$34)/(1+$C38)^5+Valuation!$B$41)/Inputs!$B$6-1)+Valuation!C8*(((1-((Valuation!$C$25)/(Valuation!$C$24)-1)/Valuation!$C$32)*(Valuation!$C$24)/(1+$C38)+(1-Valuation!$C$31/Valuation!$C$32)*((Valuation!$C$25)/(1+$C38)^2+(Valuation!$C$25)*(1+Valuation!$C$31)/(1+$C38)^3+(Valuation!$C$25)*(1+Valuation!$C$31)^2/(1+$C38)^4+(Valuation!$C$25)*(1+Valuation!$C$31)^3/(1+$C38)^5)+(Valuation!$C$25)*(1+Valuation!$C$31)^4*(1-Valuation!$C$34/Valuation!$C$32)/($C38-Valuation!$C$34)/(1+$C38)^5+Valuation!$C$41)/Inputs!$B$6-1)+Valuation!D8*(((1-((Valuation!$D$25)/(Valuation!$D$24)-1)/Valuation!$D$32)*(Valuation!$D$24)/(1+$C38)+(1-Valuation!$D$31/Valuation!$D$32)*((Valuation!$D$25)/(1+$C38)^2+(Valuation!$D$25)*(1+Valuation!$D$31)/(1+$C38)^3+(Valuation!$D$25)*(1+Valuation!$D$31)^2/(1+$C38)^4+(Valuation!$D$25)*(1+Valuation!$D$31)^3/(1+$C38)^5)+(Valuation!$D$25)*(1+Valuation!$D$31)^4*(1-Valuation!$D$34/Valuation!$D$32)/($C38-Valuation!$D$34)/(1+$C38)^5+Valuation!$D$41)/Inputs!$B$6-1)+Valuation!E8*(((1-((Valuation!$E$25)/(Valuation!$E$24)-1)/Valuation!$E$32)*(Valuation!$E$24)/(1+$C38)+(1-Valuation!$E$31/Valuation!$E$32)*((Valuation!$E$25)/(1+$C38)^2+(Valuation!$E$25)*(1+Valuation!$E$31)/(1+$C38)^3+(Valuation!$E$25)*(1+Valuation!$E$31)^2/(1+$C38)^4+(Valuation!$E$25)*(1+Valuation!$E$31)^3/(1+$C38)^5)+(Valuation!$E$25)*(1+Valuation!$E$31)^4*(1-Valuation!$E$34/Valuation!$E$32)/($C38-Valuation!$E$34)/(1+$C38)^5+Valuation!$E$41)/Inputs!$B$6-1))</f>
        <v>0.10164200991072639</v>
      </c>
      <c r="F38" s="41"/>
      <c r="G38" s="41"/>
      <c r="H38" s="41"/>
      <c r="I38" s="41"/>
      <c r="J38" s="41"/>
      <c r="K38" s="41"/>
      <c r="L38" s="41"/>
      <c r="M38" s="41"/>
    </row>
    <row r="39" spans="1:13" x14ac:dyDescent="0.35">
      <c r="A39" s="48" t="s">
        <v>335</v>
      </c>
      <c r="B39" s="73">
        <v>5.0000000000000001E-3</v>
      </c>
      <c r="C39" s="74">
        <f>Inputs!$B$34+B39</f>
        <v>0.10240000000000002</v>
      </c>
      <c r="D39" s="52">
        <f>((1-((Valuation!$C$25)/(Valuation!$C$24)-1)/Valuation!$C$32)*(Valuation!$C$24)/(1+$C39)+(1-Valuation!$C$31/Valuation!$C$32)*((Valuation!$C$25)/(1+$C39)^2+(Valuation!$C$25)*(1+Valuation!$C$31)/(1+$C39)^3+(Valuation!$C$25)*(1+Valuation!$C$31)^2/(1+$C39)^4+(Valuation!$C$25)*(1+Valuation!$C$31)^3/(1+$C39)^5)+(Valuation!$C$25)*(1+Valuation!$C$31)^4*(1-Valuation!$C$34/Valuation!$C$32)/($C39-Valuation!$C$34)/(1+$C39)^5+Valuation!$C$41)</f>
        <v>21.617297579098206</v>
      </c>
      <c r="E39" s="70">
        <f>-(Valuation!B8*(((1-((Valuation!$B$25)/(Valuation!$B$24)-1)/Valuation!$B$32)*(Valuation!$B$24)/(1+$C39)+(1-Valuation!$B$31/Valuation!$B$32)*((Valuation!$B$25)/(1+$C39)^2+(Valuation!$B$25)*(1+Valuation!$B$31)/(1+$C39)^3+(Valuation!$B$25)*(1+Valuation!$B$31)^2/(1+$C39)^4+(Valuation!$B$25)*(1+Valuation!$B$31)^3/(1+$C39)^5)+(Valuation!$B$25)*(1+Valuation!$B$31)^4*(1-Valuation!$B$34/Valuation!$B$32)/($C39-Valuation!$B$34)/(1+$C39)^5+Valuation!$B$41)/Inputs!$B$6-1)+Valuation!C8*(((1-((Valuation!$C$25)/(Valuation!$C$24)-1)/Valuation!$C$32)*(Valuation!$C$24)/(1+$C39)+(1-Valuation!$C$31/Valuation!$C$32)*((Valuation!$C$25)/(1+$C39)^2+(Valuation!$C$25)*(1+Valuation!$C$31)/(1+$C39)^3+(Valuation!$C$25)*(1+Valuation!$C$31)^2/(1+$C39)^4+(Valuation!$C$25)*(1+Valuation!$C$31)^3/(1+$C39)^5)+(Valuation!$C$25)*(1+Valuation!$C$31)^4*(1-Valuation!$C$34/Valuation!$C$32)/($C39-Valuation!$C$34)/(1+$C39)^5+Valuation!$C$41)/Inputs!$B$6-1)+Valuation!D8*(((1-((Valuation!$D$25)/(Valuation!$D$24)-1)/Valuation!$D$32)*(Valuation!$D$24)/(1+$C39)+(1-Valuation!$D$31/Valuation!$D$32)*((Valuation!$D$25)/(1+$C39)^2+(Valuation!$D$25)*(1+Valuation!$D$31)/(1+$C39)^3+(Valuation!$D$25)*(1+Valuation!$D$31)^2/(1+$C39)^4+(Valuation!$D$25)*(1+Valuation!$D$31)^3/(1+$C39)^5)+(Valuation!$D$25)*(1+Valuation!$D$31)^4*(1-Valuation!$D$34/Valuation!$D$32)/($C39-Valuation!$D$34)/(1+$C39)^5+Valuation!$D$41)/Inputs!$B$6-1)+Valuation!E8*(((1-((Valuation!$E$25)/(Valuation!$E$24)-1)/Valuation!$E$32)*(Valuation!$E$24)/(1+$C39)+(1-Valuation!$E$31/Valuation!$E$32)*((Valuation!$E$25)/(1+$C39)^2+(Valuation!$E$25)*(1+Valuation!$E$31)/(1+$C39)^3+(Valuation!$E$25)*(1+Valuation!$E$31)^2/(1+$C39)^4+(Valuation!$E$25)*(1+Valuation!$E$31)^3/(1+$C39)^5)+(Valuation!$E$25)*(1+Valuation!$E$31)^4*(1-Valuation!$E$34/Valuation!$E$32)/($C39-Valuation!$E$34)/(1+$C39)^5+Valuation!$E$41)/Inputs!$B$6-1))</f>
        <v>0.16046903920699454</v>
      </c>
      <c r="F39" s="41"/>
      <c r="G39" s="41"/>
      <c r="H39" s="41"/>
      <c r="I39" s="41"/>
      <c r="J39" s="41"/>
      <c r="K39" s="41"/>
      <c r="L39" s="41"/>
      <c r="M39" s="41"/>
    </row>
    <row r="40" spans="1:13" x14ac:dyDescent="0.35">
      <c r="A40" s="48" t="s">
        <v>336</v>
      </c>
      <c r="B40" s="73">
        <v>0.01</v>
      </c>
      <c r="C40" s="74">
        <f>Inputs!$B$34+B40</f>
        <v>0.10740000000000001</v>
      </c>
      <c r="D40" s="52">
        <f>((1-((Valuation!$C$25)/(Valuation!$C$24)-1)/Valuation!$C$32)*(Valuation!$C$24)/(1+$C40)+(1-Valuation!$C$31/Valuation!$C$32)*((Valuation!$C$25)/(1+$C40)^2+(Valuation!$C$25)*(1+Valuation!$C$31)/(1+$C40)^3+(Valuation!$C$25)*(1+Valuation!$C$31)^2/(1+$C40)^4+(Valuation!$C$25)*(1+Valuation!$C$31)^3/(1+$C40)^5)+(Valuation!$C$25)*(1+Valuation!$C$31)^4*(1-Valuation!$C$34/Valuation!$C$32)/($C40-Valuation!$C$34)/(1+$C40)^5+Valuation!$C$41)</f>
        <v>20.325041050272503</v>
      </c>
      <c r="E40" s="70">
        <f>-(Valuation!B8*(((1-((Valuation!$B$25)/(Valuation!$B$24)-1)/Valuation!$B$32)*(Valuation!$B$24)/(1+$C40)+(1-Valuation!$B$31/Valuation!$B$32)*((Valuation!$B$25)/(1+$C40)^2+(Valuation!$B$25)*(1+Valuation!$B$31)/(1+$C40)^3+(Valuation!$B$25)*(1+Valuation!$B$31)^2/(1+$C40)^4+(Valuation!$B$25)*(1+Valuation!$B$31)^3/(1+$C40)^5)+(Valuation!$B$25)*(1+Valuation!$B$31)^4*(1-Valuation!$B$34/Valuation!$B$32)/($C40-Valuation!$B$34)/(1+$C40)^5+Valuation!$B$41)/Inputs!$B$6-1)+Valuation!C8*(((1-((Valuation!$C$25)/(Valuation!$C$24)-1)/Valuation!$C$32)*(Valuation!$C$24)/(1+$C40)+(1-Valuation!$C$31/Valuation!$C$32)*((Valuation!$C$25)/(1+$C40)^2+(Valuation!$C$25)*(1+Valuation!$C$31)/(1+$C40)^3+(Valuation!$C$25)*(1+Valuation!$C$31)^2/(1+$C40)^4+(Valuation!$C$25)*(1+Valuation!$C$31)^3/(1+$C40)^5)+(Valuation!$C$25)*(1+Valuation!$C$31)^4*(1-Valuation!$C$34/Valuation!$C$32)/($C40-Valuation!$C$34)/(1+$C40)^5+Valuation!$C$41)/Inputs!$B$6-1)+Valuation!D8*(((1-((Valuation!$D$25)/(Valuation!$D$24)-1)/Valuation!$D$32)*(Valuation!$D$24)/(1+$C40)+(1-Valuation!$D$31/Valuation!$D$32)*((Valuation!$D$25)/(1+$C40)^2+(Valuation!$D$25)*(1+Valuation!$D$31)/(1+$C40)^3+(Valuation!$D$25)*(1+Valuation!$D$31)^2/(1+$C40)^4+(Valuation!$D$25)*(1+Valuation!$D$31)^3/(1+$C40)^5)+(Valuation!$D$25)*(1+Valuation!$D$31)^4*(1-Valuation!$D$34/Valuation!$D$32)/($C40-Valuation!$D$34)/(1+$C40)^5+Valuation!$D$41)/Inputs!$B$6-1)+Valuation!E8*(((1-((Valuation!$E$25)/(Valuation!$E$24)-1)/Valuation!$E$32)*(Valuation!$E$24)/(1+$C40)+(1-Valuation!$E$31/Valuation!$E$32)*((Valuation!$E$25)/(1+$C40)^2+(Valuation!$E$25)*(1+Valuation!$E$31)/(1+$C40)^3+(Valuation!$E$25)*(1+Valuation!$E$31)^2/(1+$C40)^4+(Valuation!$E$25)*(1+Valuation!$E$31)^3/(1+$C40)^5)+(Valuation!$E$25)*(1+Valuation!$E$31)^4*(1-Valuation!$E$34/Valuation!$E$32)/($C40-Valuation!$E$34)/(1+$C40)^5+Valuation!$E$41)/Inputs!$B$6-1))</f>
        <v>0.21159358704021056</v>
      </c>
      <c r="F40" s="41"/>
      <c r="G40" s="41"/>
      <c r="H40" s="41"/>
      <c r="I40" s="41"/>
      <c r="J40" s="41"/>
      <c r="K40" s="41"/>
      <c r="L40" s="41"/>
      <c r="M40" s="41"/>
    </row>
    <row r="42" spans="1:13" x14ac:dyDescent="0.35">
      <c r="A42" s="4" t="s">
        <v>337</v>
      </c>
      <c r="B42" s="5"/>
      <c r="C42" s="5"/>
      <c r="D42" s="5"/>
      <c r="E42" s="5"/>
      <c r="F42" s="5"/>
    </row>
    <row r="43" spans="1:13" x14ac:dyDescent="0.35">
      <c r="A43" s="14" t="s">
        <v>338</v>
      </c>
      <c r="B43" s="15" t="s">
        <v>339</v>
      </c>
      <c r="C43" s="15" t="s">
        <v>340</v>
      </c>
      <c r="D43" s="15" t="s">
        <v>341</v>
      </c>
      <c r="E43" s="15" t="s">
        <v>342</v>
      </c>
    </row>
    <row r="44" spans="1:13" x14ac:dyDescent="0.35">
      <c r="A44" s="48" t="s">
        <v>343</v>
      </c>
      <c r="B44" s="52">
        <f>Valuation!$C$12+-0.04</f>
        <v>1.5705834088855188</v>
      </c>
      <c r="C44" s="52">
        <f>Valuation!$C$12+0</f>
        <v>1.6105834088855189</v>
      </c>
      <c r="D44" s="52">
        <f>Valuation!$C$12+0.02</f>
        <v>1.6305834088855189</v>
      </c>
      <c r="E44" s="52">
        <f>Valuation!$C$12+0.04</f>
        <v>1.6505834088855189</v>
      </c>
      <c r="F44" s="41"/>
      <c r="G44" s="41"/>
      <c r="H44" s="41"/>
      <c r="I44" s="41"/>
      <c r="J44" s="41"/>
      <c r="K44" s="41"/>
      <c r="L44" s="41"/>
      <c r="M44" s="41"/>
    </row>
    <row r="45" spans="1:13" x14ac:dyDescent="0.35">
      <c r="A45" s="48" t="s">
        <v>288</v>
      </c>
      <c r="B45" s="52">
        <f>((1-((Valuation!$C$25+(-0.04-Valuation!$C$13)/2*(2+Valuation!$C$31))/(Valuation!$C$24+(-0.04-Valuation!$C$13)/2)-1)/Valuation!$C$32)*(Valuation!$C$24+(-0.04-Valuation!$C$13)/2)/(1+Valuation!$C$33)+(1-Valuation!$C$31/Valuation!$C$32)*((Valuation!$C$25+(-0.04-Valuation!$C$13)/2*(2+Valuation!$C$31))/(1+Valuation!$C$33)^2+(Valuation!$C$25+(-0.04-Valuation!$C$13)/2*(2+Valuation!$C$31))*(1+Valuation!$C$31)/(1+Valuation!$C$33)^3+(Valuation!$C$25+(-0.04-Valuation!$C$13)/2*(2+Valuation!$C$31))*(1+Valuation!$C$31)^2/(1+Valuation!$C$33)^4+(Valuation!$C$25+(-0.04-Valuation!$C$13)/2*(2+Valuation!$C$31))*(1+Valuation!$C$31)^3/(1+Valuation!$C$33)^5)+(Valuation!$C$25+(-0.04-Valuation!$C$13)/2*(2+Valuation!$C$31))*(1+Valuation!$C$31)^4*(1-Valuation!$C$34/Valuation!$C$32)/(Valuation!$C$33-Valuation!$C$34)/(1+Valuation!$C$33)^5+Valuation!$C$41)</f>
        <v>22.466688040749112</v>
      </c>
      <c r="C45" s="52">
        <f>((1-((Valuation!$C$25+(0-Valuation!$C$13)/2*(2+Valuation!$C$31))/(Valuation!$C$24+(0-Valuation!$C$13)/2)-1)/Valuation!$C$32)*(Valuation!$C$24+(0-Valuation!$C$13)/2)/(1+Valuation!$C$33)+(1-Valuation!$C$31/Valuation!$C$32)*((Valuation!$C$25+(0-Valuation!$C$13)/2*(2+Valuation!$C$31))/(1+Valuation!$C$33)^2+(Valuation!$C$25+(0-Valuation!$C$13)/2*(2+Valuation!$C$31))*(1+Valuation!$C$31)/(1+Valuation!$C$33)^3+(Valuation!$C$25+(0-Valuation!$C$13)/2*(2+Valuation!$C$31))*(1+Valuation!$C$31)^2/(1+Valuation!$C$33)^4+(Valuation!$C$25+(0-Valuation!$C$13)/2*(2+Valuation!$C$31))*(1+Valuation!$C$31)^3/(1+Valuation!$C$33)^5)+(Valuation!$C$25+(0-Valuation!$C$13)/2*(2+Valuation!$C$31))*(1+Valuation!$C$31)^4*(1-Valuation!$C$34/Valuation!$C$32)/(Valuation!$C$33-Valuation!$C$34)/(1+Valuation!$C$33)^5+Valuation!$C$41)</f>
        <v>22.89147516135883</v>
      </c>
      <c r="D45" s="52">
        <f>((1-((Valuation!$C$25+(0.02-Valuation!$C$13)/2*(2+Valuation!$C$31))/(Valuation!$C$24+(0.02-Valuation!$C$13)/2)-1)/Valuation!$C$32)*(Valuation!$C$24+(0.02-Valuation!$C$13)/2)/(1+Valuation!$C$33)+(1-Valuation!$C$31/Valuation!$C$32)*((Valuation!$C$25+(0.02-Valuation!$C$13)/2*(2+Valuation!$C$31))/(1+Valuation!$C$33)^2+(Valuation!$C$25+(0.02-Valuation!$C$13)/2*(2+Valuation!$C$31))*(1+Valuation!$C$31)/(1+Valuation!$C$33)^3+(Valuation!$C$25+(0.02-Valuation!$C$13)/2*(2+Valuation!$C$31))*(1+Valuation!$C$31)^2/(1+Valuation!$C$33)^4+(Valuation!$C$25+(0.02-Valuation!$C$13)/2*(2+Valuation!$C$31))*(1+Valuation!$C$31)^3/(1+Valuation!$C$33)^5)+(Valuation!$C$25+(0.02-Valuation!$C$13)/2*(2+Valuation!$C$31))*(1+Valuation!$C$31)^4*(1-Valuation!$C$34/Valuation!$C$32)/(Valuation!$C$33-Valuation!$C$34)/(1+Valuation!$C$33)^5+Valuation!$C$41)</f>
        <v>23.103868721663684</v>
      </c>
      <c r="E45" s="52">
        <f>((1-((Valuation!$C$25+(0.04-Valuation!$C$13)/2*(2+Valuation!$C$31))/(Valuation!$C$24+(0.04-Valuation!$C$13)/2)-1)/Valuation!$C$32)*(Valuation!$C$24+(0.04-Valuation!$C$13)/2)/(1+Valuation!$C$33)+(1-Valuation!$C$31/Valuation!$C$32)*((Valuation!$C$25+(0.04-Valuation!$C$13)/2*(2+Valuation!$C$31))/(1+Valuation!$C$33)^2+(Valuation!$C$25+(0.04-Valuation!$C$13)/2*(2+Valuation!$C$31))*(1+Valuation!$C$31)/(1+Valuation!$C$33)^3+(Valuation!$C$25+(0.04-Valuation!$C$13)/2*(2+Valuation!$C$31))*(1+Valuation!$C$31)^2/(1+Valuation!$C$33)^4+(Valuation!$C$25+(0.04-Valuation!$C$13)/2*(2+Valuation!$C$31))*(1+Valuation!$C$31)^3/(1+Valuation!$C$33)^5)+(Valuation!$C$25+(0.04-Valuation!$C$13)/2*(2+Valuation!$C$31))*(1+Valuation!$C$31)^4*(1-Valuation!$C$34/Valuation!$C$32)/(Valuation!$C$33-Valuation!$C$34)/(1+Valuation!$C$33)^5+Valuation!$C$41)</f>
        <v>23.316262281968541</v>
      </c>
      <c r="F45" s="41"/>
      <c r="G45" s="41"/>
      <c r="H45" s="41"/>
      <c r="I45" s="41"/>
      <c r="J45" s="41"/>
      <c r="K45" s="41"/>
      <c r="L45" s="41"/>
      <c r="M45" s="41"/>
    </row>
    <row r="46" spans="1:13" x14ac:dyDescent="0.35">
      <c r="A46" s="48" t="s">
        <v>13</v>
      </c>
      <c r="B46" s="70">
        <f>-(Valuation!B8*(((1-((Valuation!$B$25+(-0.04-Valuation!$B$13)/2*(2+Valuation!$B$31))/(Valuation!$B$24+(-0.04-Valuation!$B$13)/2)-1)/Valuation!$B$32)*(Valuation!$B$24+(-0.04-Valuation!$B$13)/2)/(1+Valuation!$B$33)+(1-Valuation!$B$31/Valuation!$B$32)*((Valuation!$B$25+(-0.04-Valuation!$B$13)/2*(2+Valuation!$B$31))/(1+Valuation!$B$33)^2+(Valuation!$B$25+(-0.04-Valuation!$B$13)/2*(2+Valuation!$B$31))*(1+Valuation!$B$31)/(1+Valuation!$B$33)^3+(Valuation!$B$25+(-0.04-Valuation!$B$13)/2*(2+Valuation!$B$31))*(1+Valuation!$B$31)^2/(1+Valuation!$B$33)^4+(Valuation!$B$25+(-0.04-Valuation!$B$13)/2*(2+Valuation!$B$31))*(1+Valuation!$B$31)^3/(1+Valuation!$B$33)^5)+(Valuation!$B$25+(-0.04-Valuation!$B$13)/2*(2+Valuation!$B$31))*(1+Valuation!$B$31)^4*(1-Valuation!$B$34/Valuation!$B$32)/(Valuation!$B$33-Valuation!$B$34)/(1+Valuation!$B$33)^5+Valuation!$B$41)/Inputs!$B$6-1)+Valuation!C8*(((1-((Valuation!$C$25+(-0.04-Valuation!$C$13)/2*(2+Valuation!$C$31))/(Valuation!$C$24+(-0.04-Valuation!$C$13)/2)-1)/Valuation!$C$32)*(Valuation!$C$24+(-0.04-Valuation!$C$13)/2)/(1+Valuation!$C$33)+(1-Valuation!$C$31/Valuation!$C$32)*((Valuation!$C$25+(-0.04-Valuation!$C$13)/2*(2+Valuation!$C$31))/(1+Valuation!$C$33)^2+(Valuation!$C$25+(-0.04-Valuation!$C$13)/2*(2+Valuation!$C$31))*(1+Valuation!$C$31)/(1+Valuation!$C$33)^3+(Valuation!$C$25+(-0.04-Valuation!$C$13)/2*(2+Valuation!$C$31))*(1+Valuation!$C$31)^2/(1+Valuation!$C$33)^4+(Valuation!$C$25+(-0.04-Valuation!$C$13)/2*(2+Valuation!$C$31))*(1+Valuation!$C$31)^3/(1+Valuation!$C$33)^5)+(Valuation!$C$25+(-0.04-Valuation!$C$13)/2*(2+Valuation!$C$31))*(1+Valuation!$C$31)^4*(1-Valuation!$C$34/Valuation!$C$32)/(Valuation!$C$33-Valuation!$C$34)/(1+Valuation!$C$33)^5+Valuation!$C$41)/Inputs!$B$6-1)+Valuation!D8*(((1-((Valuation!$D$25+(-0.04-Valuation!$D$13)/2*(2+Valuation!$D$31))/(Valuation!$D$24+(-0.04-Valuation!$D$13)/2)-1)/Valuation!$D$32)*(Valuation!$D$24+(-0.04-Valuation!$D$13)/2)/(1+Valuation!$D$33)+(1-Valuation!$D$31/Valuation!$D$32)*((Valuation!$D$25+(-0.04-Valuation!$D$13)/2*(2+Valuation!$D$31))/(1+Valuation!$D$33)^2+(Valuation!$D$25+(-0.04-Valuation!$D$13)/2*(2+Valuation!$D$31))*(1+Valuation!$D$31)/(1+Valuation!$D$33)^3+(Valuation!$D$25+(-0.04-Valuation!$D$13)/2*(2+Valuation!$D$31))*(1+Valuation!$D$31)^2/(1+Valuation!$D$33)^4+(Valuation!$D$25+(-0.04-Valuation!$D$13)/2*(2+Valuation!$D$31))*(1+Valuation!$D$31)^3/(1+Valuation!$D$33)^5)+(Valuation!$D$25+(-0.04-Valuation!$D$13)/2*(2+Valuation!$D$31))*(1+Valuation!$D$31)^4*(1-Valuation!$D$34/Valuation!$D$32)/(Valuation!$D$33-Valuation!$D$34)/(1+Valuation!$D$33)^5+Valuation!$D$41)/Inputs!$B$6-1)+Valuation!E8*(((1-((Valuation!$E$25+(-0.04-Valuation!$E$13)/2*(2+Valuation!$E$31))/(Valuation!$E$24+(-0.04-Valuation!$E$13)/2)-1)/Valuation!$E$32)*(Valuation!$E$24+(-0.04-Valuation!$E$13)/2)/(1+Valuation!$E$33)+(1-Valuation!$E$31/Valuation!$E$32)*((Valuation!$E$25+(-0.04-Valuation!$E$13)/2*(2+Valuation!$E$31))/(1+Valuation!$E$33)^2+(Valuation!$E$25+(-0.04-Valuation!$E$13)/2*(2+Valuation!$E$31))*(1+Valuation!$E$31)/(1+Valuation!$E$33)^3+(Valuation!$E$25+(-0.04-Valuation!$E$13)/2*(2+Valuation!$E$31))*(1+Valuation!$E$31)^2/(1+Valuation!$E$33)^4+(Valuation!$E$25+(-0.04-Valuation!$E$13)/2*(2+Valuation!$E$31))*(1+Valuation!$E$31)^3/(1+Valuation!$E$33)^5)+(Valuation!$E$25+(-0.04-Valuation!$E$13)/2*(2+Valuation!$E$31))*(1+Valuation!$E$31)^4*(1-Valuation!$E$34/Valuation!$E$32)/(Valuation!$E$33-Valuation!$E$34)/(1+Valuation!$E$33)^5+Valuation!$E$41)/Inputs!$B$6-1))</f>
        <v>0.12641070730633211</v>
      </c>
      <c r="C46" s="70">
        <f>-(Valuation!B8*(((1-((Valuation!$B$25+(0-Valuation!$B$13)/2*(2+Valuation!$B$31))/(Valuation!$B$24+(0-Valuation!$B$13)/2)-1)/Valuation!$B$32)*(Valuation!$B$24+(0-Valuation!$B$13)/2)/(1+Valuation!$B$33)+(1-Valuation!$B$31/Valuation!$B$32)*((Valuation!$B$25+(0-Valuation!$B$13)/2*(2+Valuation!$B$31))/(1+Valuation!$B$33)^2+(Valuation!$B$25+(0-Valuation!$B$13)/2*(2+Valuation!$B$31))*(1+Valuation!$B$31)/(1+Valuation!$B$33)^3+(Valuation!$B$25+(0-Valuation!$B$13)/2*(2+Valuation!$B$31))*(1+Valuation!$B$31)^2/(1+Valuation!$B$33)^4+(Valuation!$B$25+(0-Valuation!$B$13)/2*(2+Valuation!$B$31))*(1+Valuation!$B$31)^3/(1+Valuation!$B$33)^5)+(Valuation!$B$25+(0-Valuation!$B$13)/2*(2+Valuation!$B$31))*(1+Valuation!$B$31)^4*(1-Valuation!$B$34/Valuation!$B$32)/(Valuation!$B$33-Valuation!$B$34)/(1+Valuation!$B$33)^5+Valuation!$B$41)/Inputs!$B$6-1)+Valuation!C8*(((1-((Valuation!$C$25+(0-Valuation!$C$13)/2*(2+Valuation!$C$31))/(Valuation!$C$24+(0-Valuation!$C$13)/2)-1)/Valuation!$C$32)*(Valuation!$C$24+(0-Valuation!$C$13)/2)/(1+Valuation!$C$33)+(1-Valuation!$C$31/Valuation!$C$32)*((Valuation!$C$25+(0-Valuation!$C$13)/2*(2+Valuation!$C$31))/(1+Valuation!$C$33)^2+(Valuation!$C$25+(0-Valuation!$C$13)/2*(2+Valuation!$C$31))*(1+Valuation!$C$31)/(1+Valuation!$C$33)^3+(Valuation!$C$25+(0-Valuation!$C$13)/2*(2+Valuation!$C$31))*(1+Valuation!$C$31)^2/(1+Valuation!$C$33)^4+(Valuation!$C$25+(0-Valuation!$C$13)/2*(2+Valuation!$C$31))*(1+Valuation!$C$31)^3/(1+Valuation!$C$33)^5)+(Valuation!$C$25+(0-Valuation!$C$13)/2*(2+Valuation!$C$31))*(1+Valuation!$C$31)^4*(1-Valuation!$C$34/Valuation!$C$32)/(Valuation!$C$33-Valuation!$C$34)/(1+Valuation!$C$33)^5+Valuation!$C$41)/Inputs!$B$6-1)+Valuation!D8*(((1-((Valuation!$D$25+(0-Valuation!$D$13)/2*(2+Valuation!$D$31))/(Valuation!$D$24+(0-Valuation!$D$13)/2)-1)/Valuation!$D$32)*(Valuation!$D$24+(0-Valuation!$D$13)/2)/(1+Valuation!$D$33)+(1-Valuation!$D$31/Valuation!$D$32)*((Valuation!$D$25+(0-Valuation!$D$13)/2*(2+Valuation!$D$31))/(1+Valuation!$D$33)^2+(Valuation!$D$25+(0-Valuation!$D$13)/2*(2+Valuation!$D$31))*(1+Valuation!$D$31)/(1+Valuation!$D$33)^3+(Valuation!$D$25+(0-Valuation!$D$13)/2*(2+Valuation!$D$31))*(1+Valuation!$D$31)^2/(1+Valuation!$D$33)^4+(Valuation!$D$25+(0-Valuation!$D$13)/2*(2+Valuation!$D$31))*(1+Valuation!$D$31)^3/(1+Valuation!$D$33)^5)+(Valuation!$D$25+(0-Valuation!$D$13)/2*(2+Valuation!$D$31))*(1+Valuation!$D$31)^4*(1-Valuation!$D$34/Valuation!$D$32)/(Valuation!$D$33-Valuation!$D$34)/(1+Valuation!$D$33)^5+Valuation!$D$41)/Inputs!$B$6-1)+Valuation!E8*(((1-((Valuation!$E$25+(0-Valuation!$E$13)/2*(2+Valuation!$E$31))/(Valuation!$E$24+(0-Valuation!$E$13)/2)-1)/Valuation!$E$32)*(Valuation!$E$24+(0-Valuation!$E$13)/2)/(1+Valuation!$E$33)+(1-Valuation!$E$31/Valuation!$E$32)*((Valuation!$E$25+(0-Valuation!$E$13)/2*(2+Valuation!$E$31))/(1+Valuation!$E$33)^2+(Valuation!$E$25+(0-Valuation!$E$13)/2*(2+Valuation!$E$31))*(1+Valuation!$E$31)/(1+Valuation!$E$33)^3+(Valuation!$E$25+(0-Valuation!$E$13)/2*(2+Valuation!$E$31))*(1+Valuation!$E$31)^2/(1+Valuation!$E$33)^4+(Valuation!$E$25+(0-Valuation!$E$13)/2*(2+Valuation!$E$31))*(1+Valuation!$E$31)^3/(1+Valuation!$E$33)^5)+(Valuation!$E$25+(0-Valuation!$E$13)/2*(2+Valuation!$E$31))*(1+Valuation!$E$31)^4*(1-Valuation!$E$34/Valuation!$E$32)/(Valuation!$E$33-Valuation!$E$34)/(1+Valuation!$E$33)^5+Valuation!$E$41)/Inputs!$B$6-1))</f>
        <v>0.11033443582694985</v>
      </c>
      <c r="D46" s="70">
        <f>-(Valuation!B8*(((1-((Valuation!$B$25+(0.02-Valuation!$B$13)/2*(2+Valuation!$B$31))/(Valuation!$B$24+(0.02-Valuation!$B$13)/2)-1)/Valuation!$B$32)*(Valuation!$B$24+(0.02-Valuation!$B$13)/2)/(1+Valuation!$B$33)+(1-Valuation!$B$31/Valuation!$B$32)*((Valuation!$B$25+(0.02-Valuation!$B$13)/2*(2+Valuation!$B$31))/(1+Valuation!$B$33)^2+(Valuation!$B$25+(0.02-Valuation!$B$13)/2*(2+Valuation!$B$31))*(1+Valuation!$B$31)/(1+Valuation!$B$33)^3+(Valuation!$B$25+(0.02-Valuation!$B$13)/2*(2+Valuation!$B$31))*(1+Valuation!$B$31)^2/(1+Valuation!$B$33)^4+(Valuation!$B$25+(0.02-Valuation!$B$13)/2*(2+Valuation!$B$31))*(1+Valuation!$B$31)^3/(1+Valuation!$B$33)^5)+(Valuation!$B$25+(0.02-Valuation!$B$13)/2*(2+Valuation!$B$31))*(1+Valuation!$B$31)^4*(1-Valuation!$B$34/Valuation!$B$32)/(Valuation!$B$33-Valuation!$B$34)/(1+Valuation!$B$33)^5+Valuation!$B$41)/Inputs!$B$6-1)+Valuation!C8*(((1-((Valuation!$C$25+(0.02-Valuation!$C$13)/2*(2+Valuation!$C$31))/(Valuation!$C$24+(0.02-Valuation!$C$13)/2)-1)/Valuation!$C$32)*(Valuation!$C$24+(0.02-Valuation!$C$13)/2)/(1+Valuation!$C$33)+(1-Valuation!$C$31/Valuation!$C$32)*((Valuation!$C$25+(0.02-Valuation!$C$13)/2*(2+Valuation!$C$31))/(1+Valuation!$C$33)^2+(Valuation!$C$25+(0.02-Valuation!$C$13)/2*(2+Valuation!$C$31))*(1+Valuation!$C$31)/(1+Valuation!$C$33)^3+(Valuation!$C$25+(0.02-Valuation!$C$13)/2*(2+Valuation!$C$31))*(1+Valuation!$C$31)^2/(1+Valuation!$C$33)^4+(Valuation!$C$25+(0.02-Valuation!$C$13)/2*(2+Valuation!$C$31))*(1+Valuation!$C$31)^3/(1+Valuation!$C$33)^5)+(Valuation!$C$25+(0.02-Valuation!$C$13)/2*(2+Valuation!$C$31))*(1+Valuation!$C$31)^4*(1-Valuation!$C$34/Valuation!$C$32)/(Valuation!$C$33-Valuation!$C$34)/(1+Valuation!$C$33)^5+Valuation!$C$41)/Inputs!$B$6-1)+Valuation!D8*(((1-((Valuation!$D$25+(0.02-Valuation!$D$13)/2*(2+Valuation!$D$31))/(Valuation!$D$24+(0.02-Valuation!$D$13)/2)-1)/Valuation!$D$32)*(Valuation!$D$24+(0.02-Valuation!$D$13)/2)/(1+Valuation!$D$33)+(1-Valuation!$D$31/Valuation!$D$32)*((Valuation!$D$25+(0.02-Valuation!$D$13)/2*(2+Valuation!$D$31))/(1+Valuation!$D$33)^2+(Valuation!$D$25+(0.02-Valuation!$D$13)/2*(2+Valuation!$D$31))*(1+Valuation!$D$31)/(1+Valuation!$D$33)^3+(Valuation!$D$25+(0.02-Valuation!$D$13)/2*(2+Valuation!$D$31))*(1+Valuation!$D$31)^2/(1+Valuation!$D$33)^4+(Valuation!$D$25+(0.02-Valuation!$D$13)/2*(2+Valuation!$D$31))*(1+Valuation!$D$31)^3/(1+Valuation!$D$33)^5)+(Valuation!$D$25+(0.02-Valuation!$D$13)/2*(2+Valuation!$D$31))*(1+Valuation!$D$31)^4*(1-Valuation!$D$34/Valuation!$D$32)/(Valuation!$D$33-Valuation!$D$34)/(1+Valuation!$D$33)^5+Valuation!$D$41)/Inputs!$B$6-1)+Valuation!E8*(((1-((Valuation!$E$25+(0.02-Valuation!$E$13)/2*(2+Valuation!$E$31))/(Valuation!$E$24+(0.02-Valuation!$E$13)/2)-1)/Valuation!$E$32)*(Valuation!$E$24+(0.02-Valuation!$E$13)/2)/(1+Valuation!$E$33)+(1-Valuation!$E$31/Valuation!$E$32)*((Valuation!$E$25+(0.02-Valuation!$E$13)/2*(2+Valuation!$E$31))/(1+Valuation!$E$33)^2+(Valuation!$E$25+(0.02-Valuation!$E$13)/2*(2+Valuation!$E$31))*(1+Valuation!$E$31)/(1+Valuation!$E$33)^3+(Valuation!$E$25+(0.02-Valuation!$E$13)/2*(2+Valuation!$E$31))*(1+Valuation!$E$31)^2/(1+Valuation!$E$33)^4+(Valuation!$E$25+(0.02-Valuation!$E$13)/2*(2+Valuation!$E$31))*(1+Valuation!$E$31)^3/(1+Valuation!$E$33)^5)+(Valuation!$E$25+(0.02-Valuation!$E$13)/2*(2+Valuation!$E$31))*(1+Valuation!$E$31)^4*(1-Valuation!$E$34/Valuation!$E$32)/(Valuation!$E$33-Valuation!$E$34)/(1+Valuation!$E$33)^5+Valuation!$E$41)/Inputs!$B$6-1))</f>
        <v>0.10229630008725879</v>
      </c>
      <c r="E46" s="70">
        <f>-(Valuation!B8*(((1-((Valuation!$B$25+(0.04-Valuation!$B$13)/2*(2+Valuation!$B$31))/(Valuation!$B$24+(0.04-Valuation!$B$13)/2)-1)/Valuation!$B$32)*(Valuation!$B$24+(0.04-Valuation!$B$13)/2)/(1+Valuation!$B$33)+(1-Valuation!$B$31/Valuation!$B$32)*((Valuation!$B$25+(0.04-Valuation!$B$13)/2*(2+Valuation!$B$31))/(1+Valuation!$B$33)^2+(Valuation!$B$25+(0.04-Valuation!$B$13)/2*(2+Valuation!$B$31))*(1+Valuation!$B$31)/(1+Valuation!$B$33)^3+(Valuation!$B$25+(0.04-Valuation!$B$13)/2*(2+Valuation!$B$31))*(1+Valuation!$B$31)^2/(1+Valuation!$B$33)^4+(Valuation!$B$25+(0.04-Valuation!$B$13)/2*(2+Valuation!$B$31))*(1+Valuation!$B$31)^3/(1+Valuation!$B$33)^5)+(Valuation!$B$25+(0.04-Valuation!$B$13)/2*(2+Valuation!$B$31))*(1+Valuation!$B$31)^4*(1-Valuation!$B$34/Valuation!$B$32)/(Valuation!$B$33-Valuation!$B$34)/(1+Valuation!$B$33)^5+Valuation!$B$41)/Inputs!$B$6-1)+Valuation!C8*(((1-((Valuation!$C$25+(0.04-Valuation!$C$13)/2*(2+Valuation!$C$31))/(Valuation!$C$24+(0.04-Valuation!$C$13)/2)-1)/Valuation!$C$32)*(Valuation!$C$24+(0.04-Valuation!$C$13)/2)/(1+Valuation!$C$33)+(1-Valuation!$C$31/Valuation!$C$32)*((Valuation!$C$25+(0.04-Valuation!$C$13)/2*(2+Valuation!$C$31))/(1+Valuation!$C$33)^2+(Valuation!$C$25+(0.04-Valuation!$C$13)/2*(2+Valuation!$C$31))*(1+Valuation!$C$31)/(1+Valuation!$C$33)^3+(Valuation!$C$25+(0.04-Valuation!$C$13)/2*(2+Valuation!$C$31))*(1+Valuation!$C$31)^2/(1+Valuation!$C$33)^4+(Valuation!$C$25+(0.04-Valuation!$C$13)/2*(2+Valuation!$C$31))*(1+Valuation!$C$31)^3/(1+Valuation!$C$33)^5)+(Valuation!$C$25+(0.04-Valuation!$C$13)/2*(2+Valuation!$C$31))*(1+Valuation!$C$31)^4*(1-Valuation!$C$34/Valuation!$C$32)/(Valuation!$C$33-Valuation!$C$34)/(1+Valuation!$C$33)^5+Valuation!$C$41)/Inputs!$B$6-1)+Valuation!D8*(((1-((Valuation!$D$25+(0.04-Valuation!$D$13)/2*(2+Valuation!$D$31))/(Valuation!$D$24+(0.04-Valuation!$D$13)/2)-1)/Valuation!$D$32)*(Valuation!$D$24+(0.04-Valuation!$D$13)/2)/(1+Valuation!$D$33)+(1-Valuation!$D$31/Valuation!$D$32)*((Valuation!$D$25+(0.04-Valuation!$D$13)/2*(2+Valuation!$D$31))/(1+Valuation!$D$33)^2+(Valuation!$D$25+(0.04-Valuation!$D$13)/2*(2+Valuation!$D$31))*(1+Valuation!$D$31)/(1+Valuation!$D$33)^3+(Valuation!$D$25+(0.04-Valuation!$D$13)/2*(2+Valuation!$D$31))*(1+Valuation!$D$31)^2/(1+Valuation!$D$33)^4+(Valuation!$D$25+(0.04-Valuation!$D$13)/2*(2+Valuation!$D$31))*(1+Valuation!$D$31)^3/(1+Valuation!$D$33)^5)+(Valuation!$D$25+(0.04-Valuation!$D$13)/2*(2+Valuation!$D$31))*(1+Valuation!$D$31)^4*(1-Valuation!$D$34/Valuation!$D$32)/(Valuation!$D$33-Valuation!$D$34)/(1+Valuation!$D$33)^5+Valuation!$D$41)/Inputs!$B$6-1)+Valuation!E8*(((1-((Valuation!$E$25+(0.04-Valuation!$E$13)/2*(2+Valuation!$E$31))/(Valuation!$E$24+(0.04-Valuation!$E$13)/2)-1)/Valuation!$E$32)*(Valuation!$E$24+(0.04-Valuation!$E$13)/2)/(1+Valuation!$E$33)+(1-Valuation!$E$31/Valuation!$E$32)*((Valuation!$E$25+(0.04-Valuation!$E$13)/2*(2+Valuation!$E$31))/(1+Valuation!$E$33)^2+(Valuation!$E$25+(0.04-Valuation!$E$13)/2*(2+Valuation!$E$31))*(1+Valuation!$E$31)/(1+Valuation!$E$33)^3+(Valuation!$E$25+(0.04-Valuation!$E$13)/2*(2+Valuation!$E$31))*(1+Valuation!$E$31)^2/(1+Valuation!$E$33)^4+(Valuation!$E$25+(0.04-Valuation!$E$13)/2*(2+Valuation!$E$31))*(1+Valuation!$E$31)^3/(1+Valuation!$E$33)^5)+(Valuation!$E$25+(0.04-Valuation!$E$13)/2*(2+Valuation!$E$31))*(1+Valuation!$E$31)^4*(1-Valuation!$E$34/Valuation!$E$32)/(Valuation!$E$33-Valuation!$E$34)/(1+Valuation!$E$33)^5+Valuation!$E$41)/Inputs!$B$6-1))</f>
        <v>9.4258164347567758E-2</v>
      </c>
      <c r="F46" s="41"/>
      <c r="G46" s="41"/>
      <c r="H46" s="41"/>
      <c r="I46" s="41"/>
      <c r="J46" s="41"/>
      <c r="K46" s="41"/>
      <c r="L46" s="41"/>
      <c r="M46" s="41"/>
    </row>
    <row r="47" spans="1:13" x14ac:dyDescent="0.35">
      <c r="A47" s="20" t="s">
        <v>344</v>
      </c>
    </row>
    <row r="49" spans="1:13" x14ac:dyDescent="0.35">
      <c r="A49" s="4" t="s">
        <v>345</v>
      </c>
      <c r="B49" s="5"/>
      <c r="C49" s="5"/>
      <c r="D49" s="5"/>
      <c r="E49" s="5"/>
      <c r="F49" s="5"/>
    </row>
    <row r="50" spans="1:13" ht="28" customHeight="1" x14ac:dyDescent="0.35">
      <c r="A50" s="14" t="s">
        <v>346</v>
      </c>
      <c r="B50" s="15" t="s">
        <v>347</v>
      </c>
      <c r="C50" s="15" t="s">
        <v>23</v>
      </c>
      <c r="D50" s="15" t="s">
        <v>348</v>
      </c>
      <c r="E50" s="15" t="s">
        <v>349</v>
      </c>
    </row>
    <row r="51" spans="1:13" x14ac:dyDescent="0.35">
      <c r="A51" s="48" t="s">
        <v>350</v>
      </c>
      <c r="B51" s="50">
        <v>1</v>
      </c>
      <c r="C51" s="52">
        <f>Valuation!$C$11+(B51-Inputs!$B$16)*((Scenarios!$C$11-Scenarios!$C$10)+(Scenarios!$C$12-Inputs!$B$12))*(1-Inputs!$B$8)/Inputs!$B$7</f>
        <v>1.3691689694601694</v>
      </c>
      <c r="D51" s="52">
        <f>C51-Valuation!$C$11</f>
        <v>-1.3819742489270315E-2</v>
      </c>
      <c r="E51" s="75" t="s">
        <v>351</v>
      </c>
      <c r="F51" s="41"/>
      <c r="G51" s="41"/>
      <c r="H51" s="41"/>
      <c r="I51" s="41"/>
      <c r="J51" s="41"/>
      <c r="K51" s="41"/>
      <c r="L51" s="41"/>
      <c r="M51" s="41"/>
    </row>
    <row r="52" spans="1:13" x14ac:dyDescent="0.35">
      <c r="A52" s="48" t="s">
        <v>352</v>
      </c>
      <c r="B52" s="50">
        <v>0.5</v>
      </c>
      <c r="C52" s="52">
        <f>Valuation!$C$11+(B52-Inputs!$B$16)*((Scenarios!$C$11-Scenarios!$C$10)+(Scenarios!$C$12-Inputs!$B$12))*(1-Inputs!$B$8)/Inputs!$B$7</f>
        <v>1.3829887119494397</v>
      </c>
      <c r="D52" s="52">
        <f>C52-Valuation!$C$11</f>
        <v>0</v>
      </c>
      <c r="E52" s="75" t="s">
        <v>351</v>
      </c>
      <c r="F52" s="41"/>
      <c r="G52" s="41"/>
      <c r="H52" s="41"/>
      <c r="I52" s="41"/>
      <c r="J52" s="41"/>
      <c r="K52" s="41"/>
      <c r="L52" s="41"/>
      <c r="M52" s="41"/>
    </row>
    <row r="53" spans="1:13" x14ac:dyDescent="0.35">
      <c r="A53" s="48" t="s">
        <v>353</v>
      </c>
      <c r="B53" s="50">
        <v>0.33333333333333331</v>
      </c>
      <c r="C53" s="52">
        <f>Valuation!$C$11+(B53-Inputs!$B$16)*((Scenarios!$C$11-Scenarios!$C$10)+(Scenarios!$C$12-Inputs!$B$12))*(1-Inputs!$B$8)/Inputs!$B$7</f>
        <v>1.3875952927791966</v>
      </c>
      <c r="D53" s="52">
        <f>C53-Valuation!$C$11</f>
        <v>4.6065808297568456E-3</v>
      </c>
      <c r="E53" s="75" t="s">
        <v>351</v>
      </c>
      <c r="F53" s="41"/>
      <c r="G53" s="41"/>
      <c r="H53" s="41"/>
      <c r="I53" s="41"/>
      <c r="J53" s="41"/>
      <c r="K53" s="41"/>
      <c r="L53" s="41"/>
      <c r="M53" s="41"/>
    </row>
    <row r="54" spans="1:13" x14ac:dyDescent="0.35">
      <c r="A54" s="20" t="s">
        <v>354</v>
      </c>
    </row>
    <row r="56" spans="1:13" x14ac:dyDescent="0.35">
      <c r="A56" s="4" t="s">
        <v>355</v>
      </c>
      <c r="B56" s="5"/>
      <c r="C56" s="5"/>
      <c r="D56" s="5"/>
      <c r="E56" s="5"/>
      <c r="F56" s="5"/>
    </row>
    <row r="57" spans="1:13" ht="28" customHeight="1" x14ac:dyDescent="0.35">
      <c r="A57" s="14" t="s">
        <v>356</v>
      </c>
      <c r="B57" s="15" t="s">
        <v>13</v>
      </c>
      <c r="C57" s="15"/>
      <c r="D57" s="15"/>
      <c r="E57" s="14" t="s">
        <v>357</v>
      </c>
    </row>
    <row r="58" spans="1:13" x14ac:dyDescent="0.35">
      <c r="A58" s="48" t="s">
        <v>358</v>
      </c>
      <c r="B58" s="70">
        <f>-(0.2*Valuation!B43+0.45*Valuation!C43+0.2*Valuation!D43+0.15*Valuation!E43)</f>
        <v>0.10164200991072639</v>
      </c>
      <c r="C58" s="41"/>
      <c r="D58" s="41"/>
      <c r="E58" s="48" t="s">
        <v>359</v>
      </c>
      <c r="F58" s="41"/>
      <c r="G58" s="41"/>
      <c r="H58" s="41"/>
      <c r="I58" s="41"/>
      <c r="J58" s="41"/>
      <c r="K58" s="41"/>
      <c r="L58" s="41"/>
      <c r="M58" s="41"/>
    </row>
    <row r="59" spans="1:13" x14ac:dyDescent="0.35">
      <c r="A59" s="48" t="s">
        <v>360</v>
      </c>
      <c r="B59" s="70">
        <f>-(0.3*Valuation!B43+0.45*Valuation!C43+0.15*Valuation!D43+0.1*Valuation!E43)</f>
        <v>0.15000886814731146</v>
      </c>
      <c r="C59" s="41"/>
      <c r="D59" s="41"/>
      <c r="E59" s="48" t="s">
        <v>361</v>
      </c>
      <c r="F59" s="41"/>
      <c r="G59" s="41"/>
      <c r="H59" s="41"/>
      <c r="I59" s="41"/>
      <c r="J59" s="41"/>
      <c r="K59" s="41"/>
      <c r="L59" s="41"/>
      <c r="M59" s="41"/>
    </row>
    <row r="60" spans="1:13" x14ac:dyDescent="0.35">
      <c r="A60" s="48" t="s">
        <v>362</v>
      </c>
      <c r="B60" s="70">
        <f>-(0.15*Valuation!B43+0.4*Valuation!C43+0.25*Valuation!D43+0.2*Valuation!E43)</f>
        <v>6.3833256039867142E-2</v>
      </c>
      <c r="C60" s="41"/>
      <c r="D60" s="41"/>
      <c r="E60" s="48" t="s">
        <v>363</v>
      </c>
      <c r="F60" s="41"/>
      <c r="G60" s="41"/>
      <c r="H60" s="41"/>
      <c r="I60" s="41"/>
      <c r="J60" s="41"/>
      <c r="K60" s="41"/>
      <c r="L60" s="41"/>
      <c r="M60" s="41"/>
    </row>
    <row r="62" spans="1:13" x14ac:dyDescent="0.35">
      <c r="A62" s="4" t="s">
        <v>364</v>
      </c>
      <c r="B62" s="5"/>
      <c r="C62" s="5"/>
      <c r="D62" s="5"/>
      <c r="E62" s="5"/>
      <c r="F62" s="5"/>
    </row>
    <row r="63" spans="1:13" ht="28" customHeight="1" x14ac:dyDescent="0.35">
      <c r="A63" s="14" t="s">
        <v>167</v>
      </c>
      <c r="B63" s="15" t="s">
        <v>105</v>
      </c>
      <c r="C63" s="15" t="s">
        <v>319</v>
      </c>
      <c r="D63" s="15" t="s">
        <v>365</v>
      </c>
      <c r="E63" s="14" t="s">
        <v>357</v>
      </c>
    </row>
    <row r="64" spans="1:13" x14ac:dyDescent="0.35">
      <c r="A64" s="48" t="s">
        <v>366</v>
      </c>
      <c r="B64" s="74">
        <f>Inputs!$B$29+1.03*Inputs!$B$31</f>
        <v>0.10390000000000001</v>
      </c>
      <c r="C64" s="52">
        <f>((1-((Valuation!$C$25)/(Valuation!$C$24)-1)/Valuation!$C$32)*(Valuation!$C$24)/(1+$B64)+(1-Valuation!$C$31/Valuation!$C$32)*((Valuation!$C$25)/(1+$B64)^2+(Valuation!$C$25)*(1+Valuation!$C$31)/(1+$B64)^3+(Valuation!$C$25)*(1+Valuation!$C$31)^2/(1+$B64)^4+(Valuation!$C$25)*(1+Valuation!$C$31)^3/(1+$B64)^5)+(Valuation!$C$25)*(1+Valuation!$C$31)^4*(1-Valuation!$C$34/Valuation!$C$32)/($B64-Valuation!$C$34)/(1+$B64)^5+Valuation!$C$41)</f>
        <v>21.211015196974692</v>
      </c>
      <c r="D64" s="70">
        <f>-(Valuation!B8*(((1-((Valuation!$B$25)/(Valuation!$B$24)-1)/Valuation!$B$32)*(Valuation!$B$24)/(1+$B64)+(1-Valuation!$B$31/Valuation!$B$32)*((Valuation!$B$25)/(1+$B64)^2+(Valuation!$B$25)*(1+Valuation!$B$31)/(1+$B64)^3+(Valuation!$B$25)*(1+Valuation!$B$31)^2/(1+$B64)^4+(Valuation!$B$25)*(1+Valuation!$B$31)^3/(1+$B64)^5)+(Valuation!$B$25)*(1+Valuation!$B$31)^4*(1-Valuation!$B$34/Valuation!$B$32)/($B64-Valuation!$B$34)/(1+$B64)^5+Valuation!$B$41)/Inputs!$B$6-1)+Valuation!C8*(((1-((Valuation!$C$25)/(Valuation!$C$24)-1)/Valuation!$C$32)*(Valuation!$C$24)/(1+$B64)+(1-Valuation!$C$31/Valuation!$C$32)*((Valuation!$C$25)/(1+$B64)^2+(Valuation!$C$25)*(1+Valuation!$C$31)/(1+$B64)^3+(Valuation!$C$25)*(1+Valuation!$C$31)^2/(1+$B64)^4+(Valuation!$C$25)*(1+Valuation!$C$31)^3/(1+$B64)^5)+(Valuation!$C$25)*(1+Valuation!$C$31)^4*(1-Valuation!$C$34/Valuation!$C$32)/($B64-Valuation!$C$34)/(1+$B64)^5+Valuation!$C$41)/Inputs!$B$6-1)+Valuation!D8*(((1-((Valuation!$D$25)/(Valuation!$D$24)-1)/Valuation!$D$32)*(Valuation!$D$24)/(1+$B64)+(1-Valuation!$D$31/Valuation!$D$32)*((Valuation!$D$25)/(1+$B64)^2+(Valuation!$D$25)*(1+Valuation!$D$31)/(1+$B64)^3+(Valuation!$D$25)*(1+Valuation!$D$31)^2/(1+$B64)^4+(Valuation!$D$25)*(1+Valuation!$D$31)^3/(1+$B64)^5)+(Valuation!$D$25)*(1+Valuation!$D$31)^4*(1-Valuation!$D$34/Valuation!$D$32)/($B64-Valuation!$D$34)/(1+$B64)^5+Valuation!$D$41)/Inputs!$B$6-1)+Valuation!E8*(((1-((Valuation!$E$25)/(Valuation!$E$24)-1)/Valuation!$E$32)*(Valuation!$E$24)/(1+$B64)+(1-Valuation!$E$31/Valuation!$E$32)*((Valuation!$E$25)/(1+$B64)^2+(Valuation!$E$25)*(1+Valuation!$E$31)/(1+$B64)^3+(Valuation!$E$25)*(1+Valuation!$E$31)^2/(1+$B64)^4+(Valuation!$E$25)*(1+Valuation!$E$31)^3/(1+$B64)^5)+(Valuation!$E$25)*(1+Valuation!$E$31)^4*(1-Valuation!$E$34/Valuation!$E$32)/($B64-Valuation!$E$34)/(1+$B64)^5+Valuation!$E$41)/Inputs!$B$6-1))</f>
        <v>0.17654388816057046</v>
      </c>
      <c r="E64" s="48" t="s">
        <v>367</v>
      </c>
      <c r="F64" s="41"/>
      <c r="G64" s="41"/>
      <c r="H64" s="41"/>
      <c r="I64" s="41"/>
      <c r="J64" s="41"/>
      <c r="K64" s="41"/>
      <c r="L64" s="41"/>
      <c r="M64" s="41"/>
    </row>
    <row r="66" spans="1:13" x14ac:dyDescent="0.35">
      <c r="A66" s="4" t="s">
        <v>368</v>
      </c>
      <c r="B66" s="5"/>
      <c r="C66" s="5"/>
      <c r="D66" s="5"/>
      <c r="E66" s="5"/>
      <c r="F66" s="5"/>
    </row>
    <row r="67" spans="1:13" x14ac:dyDescent="0.35">
      <c r="A67" s="14" t="s">
        <v>167</v>
      </c>
      <c r="B67" s="15" t="s">
        <v>59</v>
      </c>
    </row>
    <row r="68" spans="1:13" x14ac:dyDescent="0.35">
      <c r="A68" s="48" t="s">
        <v>17</v>
      </c>
      <c r="B68" s="53">
        <f>Valuation!$B$55</f>
        <v>0.14696286964332783</v>
      </c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</row>
    <row r="69" spans="1:13" x14ac:dyDescent="0.35">
      <c r="A69" s="48" t="s">
        <v>369</v>
      </c>
      <c r="B69" s="53">
        <f>Valuation!$B$65</f>
        <v>0.47072058783665915</v>
      </c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</row>
    <row r="71" spans="1:13" x14ac:dyDescent="0.35">
      <c r="A71" s="4" t="s">
        <v>370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spans="1:13" ht="28" customHeight="1" x14ac:dyDescent="0.35">
      <c r="A72" s="14" t="s">
        <v>371</v>
      </c>
      <c r="B72" s="15" t="s">
        <v>219</v>
      </c>
      <c r="C72" s="15" t="s">
        <v>372</v>
      </c>
      <c r="D72" s="15" t="s">
        <v>373</v>
      </c>
      <c r="E72" s="15" t="s">
        <v>374</v>
      </c>
      <c r="F72" s="15" t="s">
        <v>375</v>
      </c>
      <c r="G72" s="15" t="s">
        <v>376</v>
      </c>
      <c r="H72" s="15" t="s">
        <v>377</v>
      </c>
      <c r="I72" s="15" t="s">
        <v>378</v>
      </c>
      <c r="J72" s="15" t="s">
        <v>22</v>
      </c>
      <c r="K72" s="15" t="s">
        <v>379</v>
      </c>
      <c r="L72" s="15" t="s">
        <v>380</v>
      </c>
      <c r="M72" s="15" t="s">
        <v>381</v>
      </c>
    </row>
    <row r="73" spans="1:13" x14ac:dyDescent="0.35">
      <c r="A73" s="48" t="s">
        <v>382</v>
      </c>
      <c r="B73" s="50">
        <v>-0.1</v>
      </c>
      <c r="C73" s="50">
        <v>0.45</v>
      </c>
      <c r="D73" s="76">
        <v>932</v>
      </c>
      <c r="E73" s="52">
        <f>((Inputs!$B$47*(1+(Inputs!$B$39*(Scenarios!$C$6+((1+$B73)/(1-Inputs!$B$55)-1))+(1-Inputs!$B$39)*Inputs!$B$41))*(1+Scenarios!$C$8)+(Inputs!$B$48-Inputs!$B$50)*(1+Inputs!$B$42)-(Inputs!$B$49*$C73*(1+Scenarios!$C$9)+Inputs!$B$49*(1-$C73)*(1+(Inputs!$B$39*(Scenarios!$C$6+((1+$B73)/(1-Inputs!$B$55)-1))+(1-Inputs!$B$39)*Inputs!$B$41)))-Inputs!$B$51*(1+Inputs!$B$42))+Inputs!$B$52*(1+Inputs!$B$43))*(1-Inputs!$B$8)/$D73</f>
        <v>0.35299006340665218</v>
      </c>
      <c r="F73" s="52">
        <f>((Inputs!$C$47*(1+(Inputs!$B$39*(Scenarios!$C$6+((1+$B73)/(1-Inputs!$C$55)-1))+(1-Inputs!$B$39)*Inputs!$B$41))*(1+Scenarios!$C$8)+(Inputs!$C$48-Inputs!$C$50)*(1+Inputs!$B$42)-(Inputs!$C$49*$C73*(1+Scenarios!$C$9)+Inputs!$C$49*(1-$C73)*(1+(Inputs!$B$39*(Scenarios!$C$6+((1+$B73)/(1-Inputs!$C$55)-1))+(1-Inputs!$B$39)*Inputs!$B$41)))-Inputs!$C$51*(1+Inputs!$B$42))+Inputs!$C$52*(1+Inputs!$B$43))*(1-Inputs!$B$8)/$D73</f>
        <v>0.31691934010193129</v>
      </c>
      <c r="G73" s="52">
        <f>((Inputs!$D$47*(1+(Inputs!$B$39*(Scenarios!$C$6+((1+$B73)/(1-Inputs!$D$55)-1))+(1-Inputs!$B$39)*Inputs!$B$41))*(1+Scenarios!$C$8)+(Inputs!$D$48-Inputs!$D$50)*(1+Inputs!$B$42)-(Inputs!$D$49*$C73*(1+Scenarios!$C$9)+Inputs!$D$49*(1-$C73)*(1+(Inputs!$B$39*(Scenarios!$C$6+((1+$B73)/(1-Inputs!$D$55)-1))+(1-Inputs!$B$39)*Inputs!$B$41)))-Inputs!$D$51*(1+Inputs!$B$42))+Inputs!$D$52*(1+Inputs!$B$43))*(1-Inputs!$B$8)/$D73</f>
        <v>0.38258341121781109</v>
      </c>
      <c r="H73" s="52">
        <f>((Inputs!$E$47*(1+(Inputs!$B$39*(Scenarios!$C$6+((1+$B73)/(1-Inputs!$E$55)-1))+(1-Inputs!$B$39)*Inputs!$B$41))*(1+Scenarios!$C$8)+(Inputs!$E$48-Inputs!$E$50)*(1+Inputs!$B$42)-(Inputs!$E$49*$C73*(1+Scenarios!$C$9)+Inputs!$E$49*(1-$C73)*(1+(Inputs!$B$39*(Scenarios!$C$6+((1+$B73)/(1-Inputs!$E$55)-1))+(1-Inputs!$B$39)*Inputs!$B$41)))-Inputs!$E$51*(1+Inputs!$B$42))+Inputs!$E$52*(1+Inputs!$B$43))*(1-Inputs!$B$8)/$D73</f>
        <v>0.34011095686257981</v>
      </c>
      <c r="I73" s="52">
        <f>E73+(Inputs!$B$12+(-(Inputs!$B$7-$D73)*Inputs!$B$6*(Inputs!$B$12*4/(Inputs!$B$9*1000))/4))*(1-Inputs!$B$8)/$D73</f>
        <v>0.38581195181866934</v>
      </c>
      <c r="J73" s="52">
        <f>SUM(E73:H73)+4*(Inputs!$B$12+(-(Inputs!$B$7-$D73)*Inputs!$B$6*(Inputs!$B$12*4/(Inputs!$B$9*1000))/4))*(1-Inputs!$B$8)/$D73</f>
        <v>1.523891325237043</v>
      </c>
      <c r="K73" s="52">
        <f>G73+H73+2*(Scenarios!$C$11-Scenarios!$C$10)*(1-Inputs!$B$8)/$D73+(E73*(1+Scenarios!$C$15)+((Scenarios!$C$13+(Inputs!$B$12-Scenarios!$C$12)*4*(1-Inputs!$B$8)/$D73)/4))+(F73*(1+Scenarios!$C$15)+((Scenarios!$C$13+(Inputs!$B$12-Scenarios!$C$12)*4*(1-Inputs!$B$8)/$D73)/4))</f>
        <v>1.4726280931430518</v>
      </c>
      <c r="L73" s="52">
        <f>(G73+H73)*(1+Scenarios!$C$15)+2*((Scenarios!$C$13+(Inputs!$B$12-Scenarios!$C$12)*4*(1-Inputs!$B$8)/$D73)/4)+((E73*(1+Scenarios!$C$15)+((Scenarios!$C$13+(Inputs!$B$12-Scenarios!$C$12)*4*(1-Inputs!$B$8)/$D73)/4))+(F73*(1+Scenarios!$C$15)+((Scenarios!$C$13+(Inputs!$B$12-Scenarios!$C$12)*4*(1-Inputs!$B$8)/$D73)/4)))*(1+Scenarios!$C$16)</f>
        <v>1.6715957240782608</v>
      </c>
      <c r="M73" s="54">
        <f>(1-(L73/K73-1)/Valuation!$C$32)*K73/(1+Valuation!$C$33)+(1-Valuation!$C$31/Valuation!$C$32)*(L73/(1+Valuation!$C$33)^2+L73*(1+Valuation!$C$31)/(1+Valuation!$C$33)^3+L73*(1+Valuation!$C$31)^2/(1+Valuation!$C$33)^4+L73*(1+Valuation!$C$31)^3/(1+Valuation!$C$33)^5)+L73*(1+Valuation!$C$31)^4*(1-Valuation!$C$34/Valuation!$C$32)/(Valuation!$C$33-Valuation!$C$34)/(1+Valuation!$C$33)^5+(Inputs!$B$10-(Inputs!$B$7-$D73)*Inputs!$B$6/1000)*1000/$D73</f>
        <v>24.154433712937198</v>
      </c>
    </row>
    <row r="74" spans="1:13" x14ac:dyDescent="0.35">
      <c r="A74" s="48" t="s">
        <v>383</v>
      </c>
      <c r="B74" s="50">
        <v>-0.1</v>
      </c>
      <c r="C74" s="50">
        <v>0.55000000000000004</v>
      </c>
      <c r="D74" s="76">
        <v>932</v>
      </c>
      <c r="E74" s="52">
        <f>((Inputs!$B$47*(1+(Inputs!$B$39*(Scenarios!$C$6+((1+$B74)/(1-Inputs!$B$55)-1))+(1-Inputs!$B$39)*Inputs!$B$41))*(1+Scenarios!$C$8)+(Inputs!$B$48-Inputs!$B$50)*(1+Inputs!$B$42)-(Inputs!$B$49*$C74*(1+Scenarios!$C$9)+Inputs!$B$49*(1-$C74)*(1+(Inputs!$B$39*(Scenarios!$C$6+((1+$B74)/(1-Inputs!$B$55)-1))+(1-Inputs!$B$39)*Inputs!$B$41)))-Inputs!$B$51*(1+Inputs!$B$42))+Inputs!$B$52*(1+Inputs!$B$43))*(1-Inputs!$B$8)/$D74</f>
        <v>0.3484741861534334</v>
      </c>
      <c r="F74" s="52">
        <f>((Inputs!$C$47*(1+(Inputs!$B$39*(Scenarios!$C$6+((1+$B74)/(1-Inputs!$C$55)-1))+(1-Inputs!$B$39)*Inputs!$B$41))*(1+Scenarios!$C$8)+(Inputs!$C$48-Inputs!$C$50)*(1+Inputs!$B$42)-(Inputs!$C$49*$C74*(1+Scenarios!$C$9)+Inputs!$C$49*(1-$C74)*(1+(Inputs!$B$39*(Scenarios!$C$6+((1+$B74)/(1-Inputs!$C$55)-1))+(1-Inputs!$B$39)*Inputs!$B$41)))-Inputs!$C$51*(1+Inputs!$B$42))+Inputs!$C$52*(1+Inputs!$B$43))*(1-Inputs!$B$8)/$D74</f>
        <v>0.31243859263412016</v>
      </c>
      <c r="G74" s="52">
        <f>((Inputs!$D$47*(1+(Inputs!$B$39*(Scenarios!$C$6+((1+$B74)/(1-Inputs!$D$55)-1))+(1-Inputs!$B$39)*Inputs!$B$41))*(1+Scenarios!$C$8)+(Inputs!$D$48-Inputs!$D$50)*(1+Inputs!$B$42)-(Inputs!$D$49*$C74*(1+Scenarios!$C$9)+Inputs!$D$49*(1-$C74)*(1+(Inputs!$B$39*(Scenarios!$C$6+((1+$B74)/(1-Inputs!$D$55)-1))+(1-Inputs!$B$39)*Inputs!$B$41)))-Inputs!$D$51*(1+Inputs!$B$42))+Inputs!$D$52*(1+Inputs!$B$43))*(1-Inputs!$B$8)/$D74</f>
        <v>0.37782729156115868</v>
      </c>
      <c r="H74" s="52">
        <f>((Inputs!$E$47*(1+(Inputs!$B$39*(Scenarios!$C$6+((1+$B74)/(1-Inputs!$E$55)-1))+(1-Inputs!$B$39)*Inputs!$B$41))*(1+Scenarios!$C$8)+(Inputs!$E$48-Inputs!$E$50)*(1+Inputs!$B$42)-(Inputs!$E$49*$C74*(1+Scenarios!$C$9)+Inputs!$E$49*(1-$C74)*(1+(Inputs!$B$39*(Scenarios!$C$6+((1+$B74)/(1-Inputs!$E$55)-1))+(1-Inputs!$B$39)*Inputs!$B$41)))-Inputs!$E$51*(1+Inputs!$B$42))+Inputs!$E$52*(1+Inputs!$B$43))*(1-Inputs!$B$8)/$D74</f>
        <v>0.33804341380880321</v>
      </c>
      <c r="I74" s="52">
        <f>E74+(Inputs!$B$12+(-(Inputs!$B$7-$D74)*Inputs!$B$6*(Inputs!$B$12*4/(Inputs!$B$9*1000))/4))*(1-Inputs!$B$8)/$D74</f>
        <v>0.38129607456545056</v>
      </c>
      <c r="J74" s="52">
        <f>SUM(E74:H74)+4*(Inputs!$B$12+(-(Inputs!$B$7-$D74)*Inputs!$B$6*(Inputs!$B$12*4/(Inputs!$B$9*1000))/4))*(1-Inputs!$B$8)/$D74</f>
        <v>1.5080710378055842</v>
      </c>
      <c r="K74" s="52">
        <f>G74+H74+2*(Scenarios!$C$11-Scenarios!$C$10)*(1-Inputs!$B$8)/$D74+(E74*(1+Scenarios!$C$15)+((Scenarios!$C$13+(Inputs!$B$12-Scenarios!$C$12)*4*(1-Inputs!$B$8)/$D74)/4))+(F74*(1+Scenarios!$C$15)+((Scenarios!$C$13+(Inputs!$B$12-Scenarios!$C$12)*4*(1-Inputs!$B$8)/$D74)/4))</f>
        <v>1.4557282107450691</v>
      </c>
      <c r="L74" s="52">
        <f>(G74+H74)*(1+Scenarios!$C$15)+2*((Scenarios!$C$13+(Inputs!$B$12-Scenarios!$C$12)*4*(1-Inputs!$B$8)/$D74)/4)+((E74*(1+Scenarios!$C$15)+((Scenarios!$C$13+(Inputs!$B$12-Scenarios!$C$12)*4*(1-Inputs!$B$8)/$D74)/4))+(F74*(1+Scenarios!$C$15)+((Scenarios!$C$13+(Inputs!$B$12-Scenarios!$C$12)*4*(1-Inputs!$B$8)/$D74)/4)))*(1+Scenarios!$C$16)</f>
        <v>1.6532724289737737</v>
      </c>
      <c r="M74" s="54">
        <f>(1-(L74/K74-1)/Valuation!$C$32)*K74/(1+Valuation!$C$33)+(1-Valuation!$C$31/Valuation!$C$32)*(L74/(1+Valuation!$C$33)^2+L74*(1+Valuation!$C$31)/(1+Valuation!$C$33)^3+L74*(1+Valuation!$C$31)^2/(1+Valuation!$C$33)^4+L74*(1+Valuation!$C$31)^3/(1+Valuation!$C$33)^5)+L74*(1+Valuation!$C$31)^4*(1-Valuation!$C$34/Valuation!$C$32)/(Valuation!$C$33-Valuation!$C$34)/(1+Valuation!$C$33)^5+(Inputs!$B$10-(Inputs!$B$7-$D74)*Inputs!$B$6/1000)*1000/$D74</f>
        <v>23.921746298175826</v>
      </c>
    </row>
    <row r="75" spans="1:13" x14ac:dyDescent="0.35">
      <c r="A75" s="48" t="s">
        <v>384</v>
      </c>
      <c r="B75" s="50">
        <v>-0.1</v>
      </c>
      <c r="C75" s="50">
        <v>0.65</v>
      </c>
      <c r="D75" s="76">
        <v>932</v>
      </c>
      <c r="E75" s="52">
        <f>((Inputs!$B$47*(1+(Inputs!$B$39*(Scenarios!$C$6+((1+$B75)/(1-Inputs!$B$55)-1))+(1-Inputs!$B$39)*Inputs!$B$41))*(1+Scenarios!$C$8)+(Inputs!$B$48-Inputs!$B$50)*(1+Inputs!$B$42)-(Inputs!$B$49*$C75*(1+Scenarios!$C$9)+Inputs!$B$49*(1-$C75)*(1+(Inputs!$B$39*(Scenarios!$C$6+((1+$B75)/(1-Inputs!$B$55)-1))+(1-Inputs!$B$39)*Inputs!$B$41)))-Inputs!$B$51*(1+Inputs!$B$42))+Inputs!$B$52*(1+Inputs!$B$43))*(1-Inputs!$B$8)/$D75</f>
        <v>0.34395830890021445</v>
      </c>
      <c r="F75" s="52">
        <f>((Inputs!$C$47*(1+(Inputs!$B$39*(Scenarios!$C$6+((1+$B75)/(1-Inputs!$C$55)-1))+(1-Inputs!$B$39)*Inputs!$B$41))*(1+Scenarios!$C$8)+(Inputs!$C$48-Inputs!$C$50)*(1+Inputs!$B$42)-(Inputs!$C$49*$C75*(1+Scenarios!$C$9)+Inputs!$C$49*(1-$C75)*(1+(Inputs!$B$39*(Scenarios!$C$6+((1+$B75)/(1-Inputs!$C$55)-1))+(1-Inputs!$B$39)*Inputs!$B$41)))-Inputs!$C$51*(1+Inputs!$B$42))+Inputs!$C$52*(1+Inputs!$B$43))*(1-Inputs!$B$8)/$D75</f>
        <v>0.30795784516630897</v>
      </c>
      <c r="G75" s="52">
        <f>((Inputs!$D$47*(1+(Inputs!$B$39*(Scenarios!$C$6+((1+$B75)/(1-Inputs!$D$55)-1))+(1-Inputs!$B$39)*Inputs!$B$41))*(1+Scenarios!$C$8)+(Inputs!$D$48-Inputs!$D$50)*(1+Inputs!$B$42)-(Inputs!$D$49*$C75*(1+Scenarios!$C$9)+Inputs!$D$49*(1-$C75)*(1+(Inputs!$B$39*(Scenarios!$C$6+((1+$B75)/(1-Inputs!$D$55)-1))+(1-Inputs!$B$39)*Inputs!$B$41)))-Inputs!$D$51*(1+Inputs!$B$42))+Inputs!$D$52*(1+Inputs!$B$43))*(1-Inputs!$B$8)/$D75</f>
        <v>0.37307117190450634</v>
      </c>
      <c r="H75" s="52">
        <f>((Inputs!$E$47*(1+(Inputs!$B$39*(Scenarios!$C$6+((1+$B75)/(1-Inputs!$E$55)-1))+(1-Inputs!$B$39)*Inputs!$B$41))*(1+Scenarios!$C$8)+(Inputs!$E$48-Inputs!$E$50)*(1+Inputs!$B$42)-(Inputs!$E$49*$C75*(1+Scenarios!$C$9)+Inputs!$E$49*(1-$C75)*(1+(Inputs!$B$39*(Scenarios!$C$6+((1+$B75)/(1-Inputs!$E$55)-1))+(1-Inputs!$B$39)*Inputs!$B$41)))-Inputs!$E$51*(1+Inputs!$B$42))+Inputs!$E$52*(1+Inputs!$B$43))*(1-Inputs!$B$8)/$D75</f>
        <v>0.33597587075502666</v>
      </c>
      <c r="I75" s="52">
        <f>E75+(Inputs!$B$12+(-(Inputs!$B$7-$D75)*Inputs!$B$6*(Inputs!$B$12*4/(Inputs!$B$9*1000))/4))*(1-Inputs!$B$8)/$D75</f>
        <v>0.37678019731223161</v>
      </c>
      <c r="J75" s="52">
        <f>SUM(E75:H75)+4*(Inputs!$B$12+(-(Inputs!$B$7-$D75)*Inputs!$B$6*(Inputs!$B$12*4/(Inputs!$B$9*1000))/4))*(1-Inputs!$B$8)/$D75</f>
        <v>1.4922507503741251</v>
      </c>
      <c r="K75" s="52">
        <f>G75+H75+2*(Scenarios!$C$11-Scenarios!$C$10)*(1-Inputs!$B$8)/$D75+(E75*(1+Scenarios!$C$15)+((Scenarios!$C$13+(Inputs!$B$12-Scenarios!$C$12)*4*(1-Inputs!$B$8)/$D75)/4))+(F75*(1+Scenarios!$C$15)+((Scenarios!$C$13+(Inputs!$B$12-Scenarios!$C$12)*4*(1-Inputs!$B$8)/$D75)/4))</f>
        <v>1.4388283283470864</v>
      </c>
      <c r="L75" s="52">
        <f>(G75+H75)*(1+Scenarios!$C$15)+2*((Scenarios!$C$13+(Inputs!$B$12-Scenarios!$C$12)*4*(1-Inputs!$B$8)/$D75)/4)+((E75*(1+Scenarios!$C$15)+((Scenarios!$C$13+(Inputs!$B$12-Scenarios!$C$12)*4*(1-Inputs!$B$8)/$D75)/4))+(F75*(1+Scenarios!$C$15)+((Scenarios!$C$13+(Inputs!$B$12-Scenarios!$C$12)*4*(1-Inputs!$B$8)/$D75)/4)))*(1+Scenarios!$C$16)</f>
        <v>1.6349491338692863</v>
      </c>
      <c r="M75" s="54">
        <f>(1-(L75/K75-1)/Valuation!$C$32)*K75/(1+Valuation!$C$33)+(1-Valuation!$C$31/Valuation!$C$32)*(L75/(1+Valuation!$C$33)^2+L75*(1+Valuation!$C$31)/(1+Valuation!$C$33)^3+L75*(1+Valuation!$C$31)^2/(1+Valuation!$C$33)^4+L75*(1+Valuation!$C$31)^3/(1+Valuation!$C$33)^5)+L75*(1+Valuation!$C$31)^4*(1-Valuation!$C$34/Valuation!$C$32)/(Valuation!$C$33-Valuation!$C$34)/(1+Valuation!$C$33)^5+(Inputs!$B$10-(Inputs!$B$7-$D75)*Inputs!$B$6/1000)*1000/$D75</f>
        <v>23.68905888341445</v>
      </c>
    </row>
    <row r="76" spans="1:13" x14ac:dyDescent="0.35">
      <c r="A76" s="48" t="s">
        <v>385</v>
      </c>
      <c r="B76" s="50">
        <v>-0.13</v>
      </c>
      <c r="C76" s="50">
        <v>0.45</v>
      </c>
      <c r="D76" s="76">
        <v>932</v>
      </c>
      <c r="E76" s="52">
        <f>((Inputs!$B$47*(1+(Inputs!$B$39*(Scenarios!$C$6+((1+$B76)/(1-Inputs!$B$55)-1))+(1-Inputs!$B$39)*Inputs!$B$41))*(1+Scenarios!$C$8)+(Inputs!$B$48-Inputs!$B$50)*(1+Inputs!$B$42)-(Inputs!$B$49*$C76*(1+Scenarios!$C$9)+Inputs!$B$49*(1-$C76)*(1+(Inputs!$B$39*(Scenarios!$C$6+((1+$B76)/(1-Inputs!$B$55)-1))+(1-Inputs!$B$39)*Inputs!$B$41)))-Inputs!$B$51*(1+Inputs!$B$42))+Inputs!$B$52*(1+Inputs!$B$43))*(1-Inputs!$B$8)/$D76</f>
        <v>0.33986916888412022</v>
      </c>
      <c r="F76" s="52">
        <f>((Inputs!$C$47*(1+(Inputs!$B$39*(Scenarios!$C$6+((1+$B76)/(1-Inputs!$C$55)-1))+(1-Inputs!$B$39)*Inputs!$B$41))*(1+Scenarios!$C$8)+(Inputs!$C$48-Inputs!$C$50)*(1+Inputs!$B$42)-(Inputs!$C$49*$C76*(1+Scenarios!$C$9)+Inputs!$C$49*(1-$C76)*(1+(Inputs!$B$39*(Scenarios!$C$6+((1+$B76)/(1-Inputs!$C$55)-1))+(1-Inputs!$B$39)*Inputs!$B$41)))-Inputs!$C$51*(1+Inputs!$B$42))+Inputs!$C$52*(1+Inputs!$B$43))*(1-Inputs!$B$8)/$D76</f>
        <v>0.30449863492489271</v>
      </c>
      <c r="G76" s="52">
        <f>((Inputs!$D$47*(1+(Inputs!$B$39*(Scenarios!$C$6+((1+$B76)/(1-Inputs!$D$55)-1))+(1-Inputs!$B$39)*Inputs!$B$41))*(1+Scenarios!$C$8)+(Inputs!$D$48-Inputs!$D$50)*(1+Inputs!$B$42)-(Inputs!$D$49*$C76*(1+Scenarios!$C$9)+Inputs!$D$49*(1-$C76)*(1+(Inputs!$B$39*(Scenarios!$C$6+((1+$B76)/(1-Inputs!$D$55)-1))+(1-Inputs!$B$39)*Inputs!$B$41)))-Inputs!$D$51*(1+Inputs!$B$42))+Inputs!$D$52*(1+Inputs!$B$43))*(1-Inputs!$B$8)/$D76</f>
        <v>0.36887684291845491</v>
      </c>
      <c r="H76" s="52">
        <f>((Inputs!$E$47*(1+(Inputs!$B$39*(Scenarios!$C$6+((1+$B76)/(1-Inputs!$E$55)-1))+(1-Inputs!$B$39)*Inputs!$B$41))*(1+Scenarios!$C$8)+(Inputs!$E$48-Inputs!$E$50)*(1+Inputs!$B$42)-(Inputs!$E$49*$C76*(1+Scenarios!$C$9)+Inputs!$E$49*(1-$C76)*(1+(Inputs!$B$39*(Scenarios!$C$6+((1+$B76)/(1-Inputs!$E$55)-1))+(1-Inputs!$B$39)*Inputs!$B$41)))-Inputs!$E$51*(1+Inputs!$B$42))+Inputs!$E$52*(1+Inputs!$B$43))*(1-Inputs!$B$8)/$D76</f>
        <v>0.32668419185063691</v>
      </c>
      <c r="I76" s="52">
        <f>E76+(Inputs!$B$12+(-(Inputs!$B$7-$D76)*Inputs!$B$6*(Inputs!$B$12*4/(Inputs!$B$9*1000))/4))*(1-Inputs!$B$8)/$D76</f>
        <v>0.37269105729613738</v>
      </c>
      <c r="J76" s="52">
        <f>SUM(E76:H76)+4*(Inputs!$B$12+(-(Inputs!$B$7-$D76)*Inputs!$B$6*(Inputs!$B$12*4/(Inputs!$B$9*1000))/4))*(1-Inputs!$B$8)/$D76</f>
        <v>1.4712163922261734</v>
      </c>
      <c r="K76" s="52">
        <f>G76+H76+2*(Scenarios!$C$11-Scenarios!$C$10)*(1-Inputs!$B$8)/$D76+(E76*(1+Scenarios!$C$15)+((Scenarios!$C$13+(Inputs!$B$12-Scenarios!$C$12)*4*(1-Inputs!$B$8)/$D76)/4))+(F76*(1+Scenarios!$C$15)+((Scenarios!$C$13+(Inputs!$B$12-Scenarios!$C$12)*4*(1-Inputs!$B$8)/$D76)/4))</f>
        <v>1.4168881681682335</v>
      </c>
      <c r="L76" s="52">
        <f>(G76+H76)*(1+Scenarios!$C$15)+2*((Scenarios!$C$13+(Inputs!$B$12-Scenarios!$C$12)*4*(1-Inputs!$B$8)/$D76)/4)+((E76*(1+Scenarios!$C$15)+((Scenarios!$C$13+(Inputs!$B$12-Scenarios!$C$12)*4*(1-Inputs!$B$8)/$D76)/4))+(F76*(1+Scenarios!$C$15)+((Scenarios!$C$13+(Inputs!$B$12-Scenarios!$C$12)*4*(1-Inputs!$B$8)/$D76)/4)))*(1+Scenarios!$C$16)</f>
        <v>1.6108834036062756</v>
      </c>
      <c r="M76" s="54">
        <f>(1-(L76/K76-1)/Valuation!$C$32)*K76/(1+Valuation!$C$33)+(1-Valuation!$C$31/Valuation!$C$32)*(L76/(1+Valuation!$C$33)^2+L76*(1+Valuation!$C$31)/(1+Valuation!$C$33)^3+L76*(1+Valuation!$C$31)^2/(1+Valuation!$C$33)^4+L76*(1+Valuation!$C$31)^3/(1+Valuation!$C$33)^5)+L76*(1+Valuation!$C$31)^4*(1-Valuation!$C$34/Valuation!$C$32)/(Valuation!$C$33-Valuation!$C$34)/(1+Valuation!$C$33)^5+(Inputs!$B$10-(Inputs!$B$7-$D76)*Inputs!$B$6/1000)*1000/$D76</f>
        <v>23.384848354402827</v>
      </c>
    </row>
    <row r="77" spans="1:13" x14ac:dyDescent="0.35">
      <c r="A77" s="48" t="s">
        <v>386</v>
      </c>
      <c r="B77" s="50">
        <v>-0.13</v>
      </c>
      <c r="C77" s="50">
        <v>0.55000000000000004</v>
      </c>
      <c r="D77" s="76">
        <v>932</v>
      </c>
      <c r="E77" s="52">
        <f>((Inputs!$B$47*(1+(Inputs!$B$39*(Scenarios!$C$6+((1+$B77)/(1-Inputs!$B$55)-1))+(1-Inputs!$B$39)*Inputs!$B$41))*(1+Scenarios!$C$8)+(Inputs!$B$48-Inputs!$B$50)*(1+Inputs!$B$42)-(Inputs!$B$49*$C77*(1+Scenarios!$C$9)+Inputs!$B$49*(1-$C77)*(1+(Inputs!$B$39*(Scenarios!$C$6+((1+$B77)/(1-Inputs!$B$55)-1))+(1-Inputs!$B$39)*Inputs!$B$41)))-Inputs!$B$51*(1+Inputs!$B$42))+Inputs!$B$52*(1+Inputs!$B$43))*(1-Inputs!$B$8)/$D77</f>
        <v>0.33456852027896999</v>
      </c>
      <c r="F77" s="52">
        <f>((Inputs!$C$47*(1+(Inputs!$B$39*(Scenarios!$C$6+((1+$B77)/(1-Inputs!$C$55)-1))+(1-Inputs!$B$39)*Inputs!$B$41))*(1+Scenarios!$C$8)+(Inputs!$C$48-Inputs!$C$50)*(1+Inputs!$B$42)-(Inputs!$C$49*$C77*(1+Scenarios!$C$9)+Inputs!$C$49*(1-$C77)*(1+(Inputs!$B$39*(Scenarios!$C$6+((1+$B77)/(1-Inputs!$C$55)-1))+(1-Inputs!$B$39)*Inputs!$B$41)))-Inputs!$C$51*(1+Inputs!$B$42))+Inputs!$C$52*(1+Inputs!$B$43))*(1-Inputs!$B$8)/$D77</f>
        <v>0.29923922097639483</v>
      </c>
      <c r="G77" s="52">
        <f>((Inputs!$D$47*(1+(Inputs!$B$39*(Scenarios!$C$6+((1+$B77)/(1-Inputs!$D$55)-1))+(1-Inputs!$B$39)*Inputs!$B$41))*(1+Scenarios!$C$8)+(Inputs!$D$48-Inputs!$D$50)*(1+Inputs!$B$42)-(Inputs!$D$49*$C77*(1+Scenarios!$C$9)+Inputs!$D$49*(1-$C77)*(1+(Inputs!$B$39*(Scenarios!$C$6+((1+$B77)/(1-Inputs!$D$55)-1))+(1-Inputs!$B$39)*Inputs!$B$41)))-Inputs!$D$51*(1+Inputs!$B$42))+Inputs!$D$52*(1+Inputs!$B$43))*(1-Inputs!$B$8)/$D77</f>
        <v>0.36329420246781113</v>
      </c>
      <c r="H77" s="52">
        <f>((Inputs!$E$47*(1+(Inputs!$B$39*(Scenarios!$C$6+((1+$B77)/(1-Inputs!$E$55)-1))+(1-Inputs!$B$39)*Inputs!$B$41))*(1+Scenarios!$C$8)+(Inputs!$E$48-Inputs!$E$50)*(1+Inputs!$B$42)-(Inputs!$E$49*$C77*(1+Scenarios!$C$9)+Inputs!$E$49*(1-$C77)*(1+(Inputs!$B$39*(Scenarios!$C$6+((1+$B77)/(1-Inputs!$E$55)-1))+(1-Inputs!$B$39)*Inputs!$B$41)))-Inputs!$E$51*(1+Inputs!$B$42))+Inputs!$E$52*(1+Inputs!$B$43))*(1-Inputs!$B$8)/$D77</f>
        <v>0.32369792702454714</v>
      </c>
      <c r="I77" s="52">
        <f>E77+(Inputs!$B$12+(-(Inputs!$B$7-$D77)*Inputs!$B$6*(Inputs!$B$12*4/(Inputs!$B$9*1000))/4))*(1-Inputs!$B$8)/$D77</f>
        <v>0.36739040869098716</v>
      </c>
      <c r="J77" s="52">
        <f>SUM(E77:H77)+4*(Inputs!$B$12+(-(Inputs!$B$7-$D77)*Inputs!$B$6*(Inputs!$B$12*4/(Inputs!$B$9*1000))/4))*(1-Inputs!$B$8)/$D77</f>
        <v>1.452087424395792</v>
      </c>
      <c r="K77" s="52">
        <f>G77+H77+2*(Scenarios!$C$11-Scenarios!$C$10)*(1-Inputs!$B$8)/$D77+(E77*(1+Scenarios!$C$15)+((Scenarios!$C$13+(Inputs!$B$12-Scenarios!$C$12)*4*(1-Inputs!$B$8)/$D77)/4))+(F77*(1+Scenarios!$C$15)+((Scenarios!$C$13+(Inputs!$B$12-Scenarios!$C$12)*4*(1-Inputs!$B$8)/$D77)/4))</f>
        <v>1.3964919928314141</v>
      </c>
      <c r="L77" s="52">
        <f>(G77+H77)*(1+Scenarios!$C$15)+2*((Scenarios!$C$13+(Inputs!$B$12-Scenarios!$C$12)*4*(1-Inputs!$B$8)/$D77)/4)+((E77*(1+Scenarios!$C$15)+((Scenarios!$C$13+(Inputs!$B$12-Scenarios!$C$12)*4*(1-Inputs!$B$8)/$D77)/4))+(F77*(1+Scenarios!$C$15)+((Scenarios!$C$13+(Inputs!$B$12-Scenarios!$C$12)*4*(1-Inputs!$B$8)/$D77)/4)))*(1+Scenarios!$C$16)</f>
        <v>1.5887493234326429</v>
      </c>
      <c r="M77" s="54">
        <f>(1-(L77/K77-1)/Valuation!$C$32)*K77/(1+Valuation!$C$33)+(1-Valuation!$C$31/Valuation!$C$32)*(L77/(1+Valuation!$C$33)^2+L77*(1+Valuation!$C$31)/(1+Valuation!$C$33)^3+L77*(1+Valuation!$C$31)^2/(1+Valuation!$C$33)^4+L77*(1+Valuation!$C$31)^3/(1+Valuation!$C$33)^5)+L77*(1+Valuation!$C$31)^4*(1-Valuation!$C$34/Valuation!$C$32)/(Valuation!$C$33-Valuation!$C$34)/(1+Valuation!$C$33)^5+(Inputs!$B$10-(Inputs!$B$7-$D77)*Inputs!$B$6/1000)*1000/$D77</f>
        <v>23.103868721663684</v>
      </c>
    </row>
    <row r="78" spans="1:13" x14ac:dyDescent="0.35">
      <c r="A78" s="48" t="s">
        <v>387</v>
      </c>
      <c r="B78" s="50">
        <v>-0.13</v>
      </c>
      <c r="C78" s="50">
        <v>0.65</v>
      </c>
      <c r="D78" s="76">
        <v>932</v>
      </c>
      <c r="E78" s="52">
        <f>((Inputs!$B$47*(1+(Inputs!$B$39*(Scenarios!$C$6+((1+$B78)/(1-Inputs!$B$55)-1))+(1-Inputs!$B$39)*Inputs!$B$41))*(1+Scenarios!$C$8)+(Inputs!$B$48-Inputs!$B$50)*(1+Inputs!$B$42)-(Inputs!$B$49*$C78*(1+Scenarios!$C$9)+Inputs!$B$49*(1-$C78)*(1+(Inputs!$B$39*(Scenarios!$C$6+((1+$B78)/(1-Inputs!$B$55)-1))+(1-Inputs!$B$39)*Inputs!$B$41)))-Inputs!$B$51*(1+Inputs!$B$42))+Inputs!$B$52*(1+Inputs!$B$43))*(1-Inputs!$B$8)/$D78</f>
        <v>0.32926787167381971</v>
      </c>
      <c r="F78" s="52">
        <f>((Inputs!$C$47*(1+(Inputs!$B$39*(Scenarios!$C$6+((1+$B78)/(1-Inputs!$C$55)-1))+(1-Inputs!$B$39)*Inputs!$B$41))*(1+Scenarios!$C$8)+(Inputs!$C$48-Inputs!$C$50)*(1+Inputs!$B$42)-(Inputs!$C$49*$C78*(1+Scenarios!$C$9)+Inputs!$C$49*(1-$C78)*(1+(Inputs!$B$39*(Scenarios!$C$6+((1+$B78)/(1-Inputs!$C$55)-1))+(1-Inputs!$B$39)*Inputs!$B$41)))-Inputs!$C$51*(1+Inputs!$B$42))+Inputs!$C$52*(1+Inputs!$B$43))*(1-Inputs!$B$8)/$D78</f>
        <v>0.293979807027897</v>
      </c>
      <c r="G78" s="52">
        <f>((Inputs!$D$47*(1+(Inputs!$B$39*(Scenarios!$C$6+((1+$B78)/(1-Inputs!$D$55)-1))+(1-Inputs!$B$39)*Inputs!$B$41))*(1+Scenarios!$C$8)+(Inputs!$D$48-Inputs!$D$50)*(1+Inputs!$B$42)-(Inputs!$D$49*$C78*(1+Scenarios!$C$9)+Inputs!$D$49*(1-$C78)*(1+(Inputs!$B$39*(Scenarios!$C$6+((1+$B78)/(1-Inputs!$D$55)-1))+(1-Inputs!$B$39)*Inputs!$B$41)))-Inputs!$D$51*(1+Inputs!$B$42))+Inputs!$D$52*(1+Inputs!$B$43))*(1-Inputs!$B$8)/$D78</f>
        <v>0.35771156201716736</v>
      </c>
      <c r="H78" s="52">
        <f>((Inputs!$E$47*(1+(Inputs!$B$39*(Scenarios!$C$6+((1+$B78)/(1-Inputs!$E$55)-1))+(1-Inputs!$B$39)*Inputs!$B$41))*(1+Scenarios!$C$8)+(Inputs!$E$48-Inputs!$E$50)*(1+Inputs!$B$42)-(Inputs!$E$49*$C78*(1+Scenarios!$C$9)+Inputs!$E$49*(1-$C78)*(1+(Inputs!$B$39*(Scenarios!$C$6+((1+$B78)/(1-Inputs!$E$55)-1))+(1-Inputs!$B$39)*Inputs!$B$41)))-Inputs!$E$51*(1+Inputs!$B$42))+Inputs!$E$52*(1+Inputs!$B$43))*(1-Inputs!$B$8)/$D78</f>
        <v>0.32071166219845715</v>
      </c>
      <c r="I78" s="52">
        <f>E78+(Inputs!$B$12+(-(Inputs!$B$7-$D78)*Inputs!$B$6*(Inputs!$B$12*4/(Inputs!$B$9*1000))/4))*(1-Inputs!$B$8)/$D78</f>
        <v>0.36208976008583688</v>
      </c>
      <c r="J78" s="52">
        <f>SUM(E78:H78)+4*(Inputs!$B$12+(-(Inputs!$B$7-$D78)*Inputs!$B$6*(Inputs!$B$12*4/(Inputs!$B$9*1000))/4))*(1-Inputs!$B$8)/$D78</f>
        <v>1.4329584565654099</v>
      </c>
      <c r="K78" s="52">
        <f>G78+H78+2*(Scenarios!$C$11-Scenarios!$C$10)*(1-Inputs!$B$8)/$D78+(E78*(1+Scenarios!$C$15)+((Scenarios!$C$13+(Inputs!$B$12-Scenarios!$C$12)*4*(1-Inputs!$B$8)/$D78)/4))+(F78*(1+Scenarios!$C$15)+((Scenarios!$C$13+(Inputs!$B$12-Scenarios!$C$12)*4*(1-Inputs!$B$8)/$D78)/4))</f>
        <v>1.3760958174945945</v>
      </c>
      <c r="L78" s="52">
        <f>(G78+H78)*(1+Scenarios!$C$15)+2*((Scenarios!$C$13+(Inputs!$B$12-Scenarios!$C$12)*4*(1-Inputs!$B$8)/$D78)/4)+((E78*(1+Scenarios!$C$15)+((Scenarios!$C$13+(Inputs!$B$12-Scenarios!$C$12)*4*(1-Inputs!$B$8)/$D78)/4))+(F78*(1+Scenarios!$C$15)+((Scenarios!$C$13+(Inputs!$B$12-Scenarios!$C$12)*4*(1-Inputs!$B$8)/$D78)/4)))*(1+Scenarios!$C$16)</f>
        <v>1.5666152432590101</v>
      </c>
      <c r="M78" s="54">
        <f>(1-(L78/K78-1)/Valuation!$C$32)*K78/(1+Valuation!$C$33)+(1-Valuation!$C$31/Valuation!$C$32)*(L78/(1+Valuation!$C$33)^2+L78*(1+Valuation!$C$31)/(1+Valuation!$C$33)^3+L78*(1+Valuation!$C$31)^2/(1+Valuation!$C$33)^4+L78*(1+Valuation!$C$31)^3/(1+Valuation!$C$33)^5)+L78*(1+Valuation!$C$31)^4*(1-Valuation!$C$34/Valuation!$C$32)/(Valuation!$C$33-Valuation!$C$34)/(1+Valuation!$C$33)^5+(Inputs!$B$10-(Inputs!$B$7-$D78)*Inputs!$B$6/1000)*1000/$D78</f>
        <v>22.822889088924541</v>
      </c>
    </row>
    <row r="79" spans="1:13" x14ac:dyDescent="0.35">
      <c r="A79" s="48" t="s">
        <v>388</v>
      </c>
      <c r="B79" s="50">
        <v>-0.16</v>
      </c>
      <c r="C79" s="50">
        <v>0.45</v>
      </c>
      <c r="D79" s="76">
        <v>932</v>
      </c>
      <c r="E79" s="52">
        <f>((Inputs!$B$47*(1+(Inputs!$B$39*(Scenarios!$C$6+((1+$B79)/(1-Inputs!$B$55)-1))+(1-Inputs!$B$39)*Inputs!$B$41))*(1+Scenarios!$C$8)+(Inputs!$B$48-Inputs!$B$50)*(1+Inputs!$B$42)-(Inputs!$B$49*$C79*(1+Scenarios!$C$9)+Inputs!$B$49*(1-$C79)*(1+(Inputs!$B$39*(Scenarios!$C$6+((1+$B79)/(1-Inputs!$B$55)-1))+(1-Inputs!$B$39)*Inputs!$B$41)))-Inputs!$B$51*(1+Inputs!$B$42))+Inputs!$B$52*(1+Inputs!$B$43))*(1-Inputs!$B$8)/$D79</f>
        <v>0.32674827436158793</v>
      </c>
      <c r="F79" s="52">
        <f>((Inputs!$C$47*(1+(Inputs!$B$39*(Scenarios!$C$6+((1+$B79)/(1-Inputs!$C$55)-1))+(1-Inputs!$B$39)*Inputs!$B$41))*(1+Scenarios!$C$8)+(Inputs!$C$48-Inputs!$C$50)*(1+Inputs!$B$42)-(Inputs!$C$49*$C79*(1+Scenarios!$C$9)+Inputs!$C$49*(1-$C79)*(1+(Inputs!$B$39*(Scenarios!$C$6+((1+$B79)/(1-Inputs!$C$55)-1))+(1-Inputs!$B$39)*Inputs!$B$41)))-Inputs!$C$51*(1+Inputs!$B$42))+Inputs!$C$52*(1+Inputs!$B$43))*(1-Inputs!$B$8)/$D79</f>
        <v>0.29207792974785396</v>
      </c>
      <c r="G79" s="52">
        <f>((Inputs!$D$47*(1+(Inputs!$B$39*(Scenarios!$C$6+((1+$B79)/(1-Inputs!$D$55)-1))+(1-Inputs!$B$39)*Inputs!$B$41))*(1+Scenarios!$C$8)+(Inputs!$D$48-Inputs!$D$50)*(1+Inputs!$B$42)-(Inputs!$D$49*$C79*(1+Scenarios!$C$9)+Inputs!$D$49*(1-$C79)*(1+(Inputs!$B$39*(Scenarios!$C$6+((1+$B79)/(1-Inputs!$D$55)-1))+(1-Inputs!$B$39)*Inputs!$B$41)))-Inputs!$D$51*(1+Inputs!$B$42))+Inputs!$D$52*(1+Inputs!$B$43))*(1-Inputs!$B$8)/$D79</f>
        <v>0.35517027461909861</v>
      </c>
      <c r="H79" s="52">
        <f>((Inputs!$E$47*(1+(Inputs!$B$39*(Scenarios!$C$6+((1+$B79)/(1-Inputs!$E$55)-1))+(1-Inputs!$B$39)*Inputs!$B$41))*(1+Scenarios!$C$8)+(Inputs!$E$48-Inputs!$E$50)*(1+Inputs!$B$42)-(Inputs!$E$49*$C79*(1+Scenarios!$C$9)+Inputs!$E$49*(1-$C79)*(1+(Inputs!$B$39*(Scenarios!$C$6+((1+$B79)/(1-Inputs!$E$55)-1))+(1-Inputs!$B$39)*Inputs!$B$41)))-Inputs!$E$51*(1+Inputs!$B$42))+Inputs!$E$52*(1+Inputs!$B$43))*(1-Inputs!$B$8)/$D79</f>
        <v>0.3132574268386939</v>
      </c>
      <c r="I79" s="52">
        <f>E79+(Inputs!$B$12+(-(Inputs!$B$7-$D79)*Inputs!$B$6*(Inputs!$B$12*4/(Inputs!$B$9*1000))/4))*(1-Inputs!$B$8)/$D79</f>
        <v>0.3595701627736051</v>
      </c>
      <c r="J79" s="52">
        <f>SUM(E79:H79)+4*(Inputs!$B$12+(-(Inputs!$B$7-$D79)*Inputs!$B$6*(Inputs!$B$12*4/(Inputs!$B$9*1000))/4))*(1-Inputs!$B$8)/$D79</f>
        <v>1.4185414592153029</v>
      </c>
      <c r="K79" s="52">
        <f>G79+H79+2*(Scenarios!$C$11-Scenarios!$C$10)*(1-Inputs!$B$8)/$D79+(E79*(1+Scenarios!$C$15)+((Scenarios!$C$13+(Inputs!$B$12-Scenarios!$C$12)*4*(1-Inputs!$B$8)/$D79)/4))+(F79*(1+Scenarios!$C$15)+((Scenarios!$C$13+(Inputs!$B$12-Scenarios!$C$12)*4*(1-Inputs!$B$8)/$D79)/4))</f>
        <v>1.3611482431934148</v>
      </c>
      <c r="L79" s="52">
        <f>(G79+H79)*(1+Scenarios!$C$15)+2*((Scenarios!$C$13+(Inputs!$B$12-Scenarios!$C$12)*4*(1-Inputs!$B$8)/$D79)/4)+((E79*(1+Scenarios!$C$15)+((Scenarios!$C$13+(Inputs!$B$12-Scenarios!$C$12)*4*(1-Inputs!$B$8)/$D79)/4))+(F79*(1+Scenarios!$C$15)+((Scenarios!$C$13+(Inputs!$B$12-Scenarios!$C$12)*4*(1-Inputs!$B$8)/$D79)/4)))*(1+Scenarios!$C$16)</f>
        <v>1.5501710831342896</v>
      </c>
      <c r="M79" s="54">
        <f>(1-(L79/K79-1)/Valuation!$C$32)*K79/(1+Valuation!$C$33)+(1-Valuation!$C$31/Valuation!$C$32)*(L79/(1+Valuation!$C$33)^2+L79*(1+Valuation!$C$31)/(1+Valuation!$C$33)^3+L79*(1+Valuation!$C$31)^2/(1+Valuation!$C$33)^4+L79*(1+Valuation!$C$31)^3/(1+Valuation!$C$33)^5)+L79*(1+Valuation!$C$31)^4*(1-Valuation!$C$34/Valuation!$C$32)/(Valuation!$C$33-Valuation!$C$34)/(1+Valuation!$C$33)^5+(Inputs!$B$10-(Inputs!$B$7-$D79)*Inputs!$B$6/1000)*1000/$D79</f>
        <v>22.615262995868441</v>
      </c>
    </row>
    <row r="80" spans="1:13" x14ac:dyDescent="0.35">
      <c r="A80" s="48" t="s">
        <v>389</v>
      </c>
      <c r="B80" s="50">
        <v>-0.16</v>
      </c>
      <c r="C80" s="50">
        <v>0.55000000000000004</v>
      </c>
      <c r="D80" s="76">
        <v>932</v>
      </c>
      <c r="E80" s="52">
        <f>((Inputs!$B$47*(1+(Inputs!$B$39*(Scenarios!$C$6+((1+$B80)/(1-Inputs!$B$55)-1))+(1-Inputs!$B$39)*Inputs!$B$41))*(1+Scenarios!$C$8)+(Inputs!$B$48-Inputs!$B$50)*(1+Inputs!$B$42)-(Inputs!$B$49*$C80*(1+Scenarios!$C$9)+Inputs!$B$49*(1-$C80)*(1+(Inputs!$B$39*(Scenarios!$C$6+((1+$B80)/(1-Inputs!$B$55)-1))+(1-Inputs!$B$39)*Inputs!$B$41)))-Inputs!$B$51*(1+Inputs!$B$42))+Inputs!$B$52*(1+Inputs!$B$43))*(1-Inputs!$B$8)/$D80</f>
        <v>0.32066285440450637</v>
      </c>
      <c r="F80" s="52">
        <f>((Inputs!$C$47*(1+(Inputs!$B$39*(Scenarios!$C$6+((1+$B80)/(1-Inputs!$C$55)-1))+(1-Inputs!$B$39)*Inputs!$B$41))*(1+Scenarios!$C$8)+(Inputs!$C$48-Inputs!$C$50)*(1+Inputs!$B$42)-(Inputs!$C$49*$C80*(1+Scenarios!$C$9)+Inputs!$C$49*(1-$C80)*(1+(Inputs!$B$39*(Scenarios!$C$6+((1+$B80)/(1-Inputs!$C$55)-1))+(1-Inputs!$B$39)*Inputs!$B$41)))-Inputs!$C$51*(1+Inputs!$B$42))+Inputs!$C$52*(1+Inputs!$B$43))*(1-Inputs!$B$8)/$D80</f>
        <v>0.28603984931866955</v>
      </c>
      <c r="G80" s="52">
        <f>((Inputs!$D$47*(1+(Inputs!$B$39*(Scenarios!$C$6+((1+$B80)/(1-Inputs!$D$55)-1))+(1-Inputs!$B$39)*Inputs!$B$41))*(1+Scenarios!$C$8)+(Inputs!$D$48-Inputs!$D$50)*(1+Inputs!$B$42)-(Inputs!$D$49*$C80*(1+Scenarios!$C$9)+Inputs!$D$49*(1-$C80)*(1+(Inputs!$B$39*(Scenarios!$C$6+((1+$B80)/(1-Inputs!$D$55)-1))+(1-Inputs!$B$39)*Inputs!$B$41)))-Inputs!$D$51*(1+Inputs!$B$42))+Inputs!$D$52*(1+Inputs!$B$43))*(1-Inputs!$B$8)/$D80</f>
        <v>0.34876111337446342</v>
      </c>
      <c r="H80" s="52">
        <f>((Inputs!$E$47*(1+(Inputs!$B$39*(Scenarios!$C$6+((1+$B80)/(1-Inputs!$E$55)-1))+(1-Inputs!$B$39)*Inputs!$B$41))*(1+Scenarios!$C$8)+(Inputs!$E$48-Inputs!$E$50)*(1+Inputs!$B$42)-(Inputs!$E$49*$C80*(1+Scenarios!$C$9)+Inputs!$E$49*(1-$C80)*(1+(Inputs!$B$39*(Scenarios!$C$6+((1+$B80)/(1-Inputs!$E$55)-1))+(1-Inputs!$B$39)*Inputs!$B$41)))-Inputs!$E$51*(1+Inputs!$B$42))+Inputs!$E$52*(1+Inputs!$B$43))*(1-Inputs!$B$8)/$D80</f>
        <v>0.30935244024029068</v>
      </c>
      <c r="I80" s="52">
        <f>E80+(Inputs!$B$12+(-(Inputs!$B$7-$D80)*Inputs!$B$6*(Inputs!$B$12*4/(Inputs!$B$9*1000))/4))*(1-Inputs!$B$8)/$D80</f>
        <v>0.35348474281652353</v>
      </c>
      <c r="J80" s="52">
        <f>SUM(E80:H80)+4*(Inputs!$B$12+(-(Inputs!$B$7-$D80)*Inputs!$B$6*(Inputs!$B$12*4/(Inputs!$B$9*1000))/4))*(1-Inputs!$B$8)/$D80</f>
        <v>1.3961038109859987</v>
      </c>
      <c r="K80" s="52">
        <f>G80+H80+2*(Scenarios!$C$11-Scenarios!$C$10)*(1-Inputs!$B$8)/$D80+(E80*(1+Scenarios!$C$15)+((Scenarios!$C$13+(Inputs!$B$12-Scenarios!$C$12)*4*(1-Inputs!$B$8)/$D80)/4))+(F80*(1+Scenarios!$C$15)+((Scenarios!$C$13+(Inputs!$B$12-Scenarios!$C$12)*4*(1-Inputs!$B$8)/$D80)/4))</f>
        <v>1.3372557749177585</v>
      </c>
      <c r="L80" s="52">
        <f>(G80+H80)*(1+Scenarios!$C$15)+2*((Scenarios!$C$13+(Inputs!$B$12-Scenarios!$C$12)*4*(1-Inputs!$B$8)/$D80)/4)+((E80*(1+Scenarios!$C$15)+((Scenarios!$C$13+(Inputs!$B$12-Scenarios!$C$12)*4*(1-Inputs!$B$8)/$D80)/4))+(F80*(1+Scenarios!$C$15)+((Scenarios!$C$13+(Inputs!$B$12-Scenarios!$C$12)*4*(1-Inputs!$B$8)/$D80)/4)))*(1+Scenarios!$C$16)</f>
        <v>1.5242262178915118</v>
      </c>
      <c r="M80" s="54">
        <f>(1-(L80/K80-1)/Valuation!$C$32)*K80/(1+Valuation!$C$33)+(1-Valuation!$C$31/Valuation!$C$32)*(L80/(1+Valuation!$C$33)^2+L80*(1+Valuation!$C$31)/(1+Valuation!$C$33)^3+L80*(1+Valuation!$C$31)^2/(1+Valuation!$C$33)^4+L80*(1+Valuation!$C$31)^3/(1+Valuation!$C$33)^5)+L80*(1+Valuation!$C$31)^4*(1-Valuation!$C$34/Valuation!$C$32)/(Valuation!$C$33-Valuation!$C$34)/(1+Valuation!$C$33)^5+(Inputs!$B$10-(Inputs!$B$7-$D80)*Inputs!$B$6/1000)*1000/$D80</f>
        <v>22.285991145151538</v>
      </c>
    </row>
    <row r="81" spans="1:13" x14ac:dyDescent="0.35">
      <c r="A81" s="48" t="s">
        <v>390</v>
      </c>
      <c r="B81" s="50">
        <v>-0.16</v>
      </c>
      <c r="C81" s="50">
        <v>0.65</v>
      </c>
      <c r="D81" s="76">
        <v>932</v>
      </c>
      <c r="E81" s="52">
        <f>((Inputs!$B$47*(1+(Inputs!$B$39*(Scenarios!$C$6+((1+$B81)/(1-Inputs!$B$55)-1))+(1-Inputs!$B$39)*Inputs!$B$41))*(1+Scenarios!$C$8)+(Inputs!$B$48-Inputs!$B$50)*(1+Inputs!$B$42)-(Inputs!$B$49*$C81*(1+Scenarios!$C$9)+Inputs!$B$49*(1-$C81)*(1+(Inputs!$B$39*(Scenarios!$C$6+((1+$B81)/(1-Inputs!$B$55)-1))+(1-Inputs!$B$39)*Inputs!$B$41)))-Inputs!$B$51*(1+Inputs!$B$42))+Inputs!$B$52*(1+Inputs!$B$43))*(1-Inputs!$B$8)/$D81</f>
        <v>0.31457743444742475</v>
      </c>
      <c r="F81" s="52">
        <f>((Inputs!$C$47*(1+(Inputs!$B$39*(Scenarios!$C$6+((1+$B81)/(1-Inputs!$C$55)-1))+(1-Inputs!$B$39)*Inputs!$B$41))*(1+Scenarios!$C$8)+(Inputs!$C$48-Inputs!$C$50)*(1+Inputs!$B$42)-(Inputs!$C$49*$C81*(1+Scenarios!$C$9)+Inputs!$C$49*(1-$C81)*(1+(Inputs!$B$39*(Scenarios!$C$6+((1+$B81)/(1-Inputs!$C$55)-1))+(1-Inputs!$B$39)*Inputs!$B$41)))-Inputs!$C$51*(1+Inputs!$B$42))+Inputs!$C$52*(1+Inputs!$B$43))*(1-Inputs!$B$8)/$D81</f>
        <v>0.28000176888948497</v>
      </c>
      <c r="G81" s="52">
        <f>((Inputs!$D$47*(1+(Inputs!$B$39*(Scenarios!$C$6+((1+$B81)/(1-Inputs!$D$55)-1))+(1-Inputs!$B$39)*Inputs!$B$41))*(1+Scenarios!$C$8)+(Inputs!$D$48-Inputs!$D$50)*(1+Inputs!$B$42)-(Inputs!$D$49*$C81*(1+Scenarios!$C$9)+Inputs!$D$49*(1-$C81)*(1+(Inputs!$B$39*(Scenarios!$C$6+((1+$B81)/(1-Inputs!$D$55)-1))+(1-Inputs!$B$39)*Inputs!$B$41)))-Inputs!$D$51*(1+Inputs!$B$42))+Inputs!$D$52*(1+Inputs!$B$43))*(1-Inputs!$B$8)/$D81</f>
        <v>0.34235195212982822</v>
      </c>
      <c r="H81" s="52">
        <f>((Inputs!$E$47*(1+(Inputs!$B$39*(Scenarios!$C$6+((1+$B81)/(1-Inputs!$E$55)-1))+(1-Inputs!$B$39)*Inputs!$B$41))*(1+Scenarios!$C$8)+(Inputs!$E$48-Inputs!$E$50)*(1+Inputs!$B$42)-(Inputs!$E$49*$C81*(1+Scenarios!$C$9)+Inputs!$E$49*(1-$C81)*(1+(Inputs!$B$39*(Scenarios!$C$6+((1+$B81)/(1-Inputs!$E$55)-1))+(1-Inputs!$B$39)*Inputs!$B$41)))-Inputs!$E$51*(1+Inputs!$B$42))+Inputs!$E$52*(1+Inputs!$B$43))*(1-Inputs!$B$8)/$D81</f>
        <v>0.30544745364188752</v>
      </c>
      <c r="I81" s="52">
        <f>E81+(Inputs!$B$12+(-(Inputs!$B$7-$D81)*Inputs!$B$6*(Inputs!$B$12*4/(Inputs!$B$9*1000))/4))*(1-Inputs!$B$8)/$D81</f>
        <v>0.34739932285944192</v>
      </c>
      <c r="J81" s="52">
        <f>SUM(E81:H81)+4*(Inputs!$B$12+(-(Inputs!$B$7-$D81)*Inputs!$B$6*(Inputs!$B$12*4/(Inputs!$B$9*1000))/4))*(1-Inputs!$B$8)/$D81</f>
        <v>1.373666162756694</v>
      </c>
      <c r="K81" s="52">
        <f>G81+H81+2*(Scenarios!$C$11-Scenarios!$C$10)*(1-Inputs!$B$8)/$D81+(E81*(1+Scenarios!$C$15)+((Scenarios!$C$13+(Inputs!$B$12-Scenarios!$C$12)*4*(1-Inputs!$B$8)/$D81)/4))+(F81*(1+Scenarios!$C$15)+((Scenarios!$C$13+(Inputs!$B$12-Scenarios!$C$12)*4*(1-Inputs!$B$8)/$D81)/4))</f>
        <v>1.313363306642102</v>
      </c>
      <c r="L81" s="52">
        <f>(G81+H81)*(1+Scenarios!$C$15)+2*((Scenarios!$C$13+(Inputs!$B$12-Scenarios!$C$12)*4*(1-Inputs!$B$8)/$D81)/4)+((E81*(1+Scenarios!$C$15)+((Scenarios!$C$13+(Inputs!$B$12-Scenarios!$C$12)*4*(1-Inputs!$B$8)/$D81)/4))+(F81*(1+Scenarios!$C$15)+((Scenarios!$C$13+(Inputs!$B$12-Scenarios!$C$12)*4*(1-Inputs!$B$8)/$D81)/4)))*(1+Scenarios!$C$16)</f>
        <v>1.4982813526487335</v>
      </c>
      <c r="M81" s="54">
        <f>(1-(L81/K81-1)/Valuation!$C$32)*K81/(1+Valuation!$C$33)+(1-Valuation!$C$31/Valuation!$C$32)*(L81/(1+Valuation!$C$33)^2+L81*(1+Valuation!$C$31)/(1+Valuation!$C$33)^3+L81*(1+Valuation!$C$31)^2/(1+Valuation!$C$33)^4+L81*(1+Valuation!$C$31)^3/(1+Valuation!$C$33)^5)+L81*(1+Valuation!$C$31)^4*(1-Valuation!$C$34/Valuation!$C$32)/(Valuation!$C$33-Valuation!$C$34)/(1+Valuation!$C$33)^5+(Inputs!$B$10-(Inputs!$B$7-$D81)*Inputs!$B$6/1000)*1000/$D81</f>
        <v>21.956719294434627</v>
      </c>
    </row>
    <row r="82" spans="1:13" x14ac:dyDescent="0.35">
      <c r="A82" s="48" t="s">
        <v>391</v>
      </c>
      <c r="B82" s="50">
        <v>-0.13</v>
      </c>
      <c r="C82" s="50">
        <v>0.55000000000000004</v>
      </c>
      <c r="D82" s="76">
        <v>940</v>
      </c>
      <c r="E82" s="52">
        <f>((Inputs!$B$47*(1+(Inputs!$B$39*(Scenarios!$C$6+((1+$B82)/(1-Inputs!$B$55)-1))+(1-Inputs!$B$39)*Inputs!$B$41))*(1+Scenarios!$C$8)+(Inputs!$B$48-Inputs!$B$50)*(1+Inputs!$B$42)-(Inputs!$B$49*$C82*(1+Scenarios!$C$9)+Inputs!$B$49*(1-$C82)*(1+(Inputs!$B$39*(Scenarios!$C$6+((1+$B82)/(1-Inputs!$B$55)-1))+(1-Inputs!$B$39)*Inputs!$B$41)))-Inputs!$B$51*(1+Inputs!$B$42))+Inputs!$B$52*(1+Inputs!$B$43))*(1-Inputs!$B$8)/$D82</f>
        <v>0.3317211286170213</v>
      </c>
      <c r="F82" s="52">
        <f>((Inputs!$C$47*(1+(Inputs!$B$39*(Scenarios!$C$6+((1+$B82)/(1-Inputs!$C$55)-1))+(1-Inputs!$B$39)*Inputs!$B$41))*(1+Scenarios!$C$8)+(Inputs!$C$48-Inputs!$C$50)*(1+Inputs!$B$42)-(Inputs!$C$49*$C82*(1+Scenarios!$C$9)+Inputs!$C$49*(1-$C82)*(1+(Inputs!$B$39*(Scenarios!$C$6+((1+$B82)/(1-Inputs!$C$55)-1))+(1-Inputs!$B$39)*Inputs!$B$41)))-Inputs!$C$51*(1+Inputs!$B$42))+Inputs!$C$52*(1+Inputs!$B$43))*(1-Inputs!$B$8)/$D82</f>
        <v>0.29669250420212762</v>
      </c>
      <c r="G82" s="52">
        <f>((Inputs!$D$47*(1+(Inputs!$B$39*(Scenarios!$C$6+((1+$B82)/(1-Inputs!$D$55)-1))+(1-Inputs!$B$39)*Inputs!$B$41))*(1+Scenarios!$C$8)+(Inputs!$D$48-Inputs!$D$50)*(1+Inputs!$B$42)-(Inputs!$D$49*$C82*(1+Scenarios!$C$9)+Inputs!$D$49*(1-$C82)*(1+(Inputs!$B$39*(Scenarios!$C$6+((1+$B82)/(1-Inputs!$D$55)-1))+(1-Inputs!$B$39)*Inputs!$B$41)))-Inputs!$D$51*(1+Inputs!$B$42))+Inputs!$D$52*(1+Inputs!$B$43))*(1-Inputs!$B$8)/$D82</f>
        <v>0.36020233691489362</v>
      </c>
      <c r="H82" s="52">
        <f>((Inputs!$E$47*(1+(Inputs!$B$39*(Scenarios!$C$6+((1+$B82)/(1-Inputs!$E$55)-1))+(1-Inputs!$B$39)*Inputs!$B$41))*(1+Scenarios!$C$8)+(Inputs!$E$48-Inputs!$E$50)*(1+Inputs!$B$42)-(Inputs!$E$49*$C82*(1+Scenarios!$C$9)+Inputs!$E$49*(1-$C82)*(1+(Inputs!$B$39*(Scenarios!$C$6+((1+$B82)/(1-Inputs!$E$55)-1))+(1-Inputs!$B$39)*Inputs!$B$41)))-Inputs!$E$51*(1+Inputs!$B$42))+Inputs!$E$52*(1+Inputs!$B$43))*(1-Inputs!$B$8)/$D82</f>
        <v>0.32094305104987014</v>
      </c>
      <c r="I82" s="52">
        <f>E82+(Inputs!$B$12+(-(Inputs!$B$7-$D82)*Inputs!$B$6*(Inputs!$B$12*4/(Inputs!$B$9*1000))/4))*(1-Inputs!$B$8)/$D82</f>
        <v>0.36584601815879259</v>
      </c>
      <c r="J82" s="52">
        <f>SUM(E82:H82)+4*(Inputs!$B$12+(-(Inputs!$B$7-$D82)*Inputs!$B$6*(Inputs!$B$12*4/(Inputs!$B$9*1000))/4))*(1-Inputs!$B$8)/$D82</f>
        <v>1.4460585789509979</v>
      </c>
      <c r="K82" s="52">
        <f>G82+H82+2*(Scenarios!$C$11-Scenarios!$C$10)*(1-Inputs!$B$8)/$D82+(E82*(1+Scenarios!$C$15)+((Scenarios!$C$13+(Inputs!$B$12-Scenarios!$C$12)*4*(1-Inputs!$B$8)/$D82)/4))+(F82*(1+Scenarios!$C$15)+((Scenarios!$C$13+(Inputs!$B$12-Scenarios!$C$12)*4*(1-Inputs!$B$8)/$D82)/4))</f>
        <v>1.3846920609775299</v>
      </c>
      <c r="L82" s="52">
        <f>(G82+H82)*(1+Scenarios!$C$15)+2*((Scenarios!$C$13+(Inputs!$B$12-Scenarios!$C$12)*4*(1-Inputs!$B$8)/$D82)/4)+((E82*(1+Scenarios!$C$15)+((Scenarios!$C$13+(Inputs!$B$12-Scenarios!$C$12)*4*(1-Inputs!$B$8)/$D82)/4))+(F82*(1+Scenarios!$C$15)+((Scenarios!$C$13+(Inputs!$B$12-Scenarios!$C$12)*4*(1-Inputs!$B$8)/$D82)/4)))*(1+Scenarios!$C$16)</f>
        <v>1.5754033717438547</v>
      </c>
      <c r="M82" s="54">
        <f>(1-(L82/K82-1)/Valuation!$C$32)*K82/(1+Valuation!$C$33)+(1-Valuation!$C$31/Valuation!$C$32)*(L82/(1+Valuation!$C$33)^2+L82*(1+Valuation!$C$31)/(1+Valuation!$C$33)^3+L82*(1+Valuation!$C$31)^2/(1+Valuation!$C$33)^4+L82*(1+Valuation!$C$31)^3/(1+Valuation!$C$33)^5)+L82*(1+Valuation!$C$31)^4*(1-Valuation!$C$34/Valuation!$C$32)/(Valuation!$C$33-Valuation!$C$34)/(1+Valuation!$C$33)^5+(Inputs!$B$10-(Inputs!$B$7-$D82)*Inputs!$B$6/1000)*1000/$D82</f>
        <v>23.14130297560957</v>
      </c>
    </row>
    <row r="83" spans="1:13" x14ac:dyDescent="0.35">
      <c r="A83" s="48" t="s">
        <v>392</v>
      </c>
      <c r="B83" s="50">
        <v>-0.13</v>
      </c>
      <c r="C83" s="50">
        <v>0.55000000000000004</v>
      </c>
      <c r="D83" s="76">
        <v>932</v>
      </c>
      <c r="E83" s="52">
        <f>((Inputs!$B$47*(1+(Inputs!$B$39*(Scenarios!$C$6+((1+$B83)/(1-Inputs!$B$55)-1))+(1-Inputs!$B$39)*Inputs!$B$41))*(1+Scenarios!$C$8)+(Inputs!$B$48-Inputs!$B$50)*(1+Inputs!$B$42)-(Inputs!$B$49*$C83*(1+Scenarios!$C$9)+Inputs!$B$49*(1-$C83)*(1+(Inputs!$B$39*(Scenarios!$C$6+((1+$B83)/(1-Inputs!$B$55)-1))+(1-Inputs!$B$39)*Inputs!$B$41)))-Inputs!$B$51*(1+Inputs!$B$42))+Inputs!$B$52*(1+Inputs!$B$43))*(1-Inputs!$B$8)/$D83</f>
        <v>0.33456852027896999</v>
      </c>
      <c r="F83" s="52">
        <f>((Inputs!$C$47*(1+(Inputs!$B$39*(Scenarios!$C$6+((1+$B83)/(1-Inputs!$C$55)-1))+(1-Inputs!$B$39)*Inputs!$B$41))*(1+Scenarios!$C$8)+(Inputs!$C$48-Inputs!$C$50)*(1+Inputs!$B$42)-(Inputs!$C$49*$C83*(1+Scenarios!$C$9)+Inputs!$C$49*(1-$C83)*(1+(Inputs!$B$39*(Scenarios!$C$6+((1+$B83)/(1-Inputs!$C$55)-1))+(1-Inputs!$B$39)*Inputs!$B$41)))-Inputs!$C$51*(1+Inputs!$B$42))+Inputs!$C$52*(1+Inputs!$B$43))*(1-Inputs!$B$8)/$D83</f>
        <v>0.29923922097639483</v>
      </c>
      <c r="G83" s="52">
        <f>((Inputs!$D$47*(1+(Inputs!$B$39*(Scenarios!$C$6+((1+$B83)/(1-Inputs!$D$55)-1))+(1-Inputs!$B$39)*Inputs!$B$41))*(1+Scenarios!$C$8)+(Inputs!$D$48-Inputs!$D$50)*(1+Inputs!$B$42)-(Inputs!$D$49*$C83*(1+Scenarios!$C$9)+Inputs!$D$49*(1-$C83)*(1+(Inputs!$B$39*(Scenarios!$C$6+((1+$B83)/(1-Inputs!$D$55)-1))+(1-Inputs!$B$39)*Inputs!$B$41)))-Inputs!$D$51*(1+Inputs!$B$42))+Inputs!$D$52*(1+Inputs!$B$43))*(1-Inputs!$B$8)/$D83</f>
        <v>0.36329420246781113</v>
      </c>
      <c r="H83" s="52">
        <f>((Inputs!$E$47*(1+(Inputs!$B$39*(Scenarios!$C$6+((1+$B83)/(1-Inputs!$E$55)-1))+(1-Inputs!$B$39)*Inputs!$B$41))*(1+Scenarios!$C$8)+(Inputs!$E$48-Inputs!$E$50)*(1+Inputs!$B$42)-(Inputs!$E$49*$C83*(1+Scenarios!$C$9)+Inputs!$E$49*(1-$C83)*(1+(Inputs!$B$39*(Scenarios!$C$6+((1+$B83)/(1-Inputs!$E$55)-1))+(1-Inputs!$B$39)*Inputs!$B$41)))-Inputs!$E$51*(1+Inputs!$B$42))+Inputs!$E$52*(1+Inputs!$B$43))*(1-Inputs!$B$8)/$D83</f>
        <v>0.32369792702454714</v>
      </c>
      <c r="I83" s="52">
        <f>E83+(Inputs!$B$12+(-(Inputs!$B$7-$D83)*Inputs!$B$6*(Inputs!$B$12*4/(Inputs!$B$9*1000))/4))*(1-Inputs!$B$8)/$D83</f>
        <v>0.36739040869098716</v>
      </c>
      <c r="J83" s="52">
        <f>SUM(E83:H83)+4*(Inputs!$B$12+(-(Inputs!$B$7-$D83)*Inputs!$B$6*(Inputs!$B$12*4/(Inputs!$B$9*1000))/4))*(1-Inputs!$B$8)/$D83</f>
        <v>1.452087424395792</v>
      </c>
      <c r="K83" s="52">
        <f>G83+H83+2*(Scenarios!$C$11-Scenarios!$C$10)*(1-Inputs!$B$8)/$D83+(E83*(1+Scenarios!$C$15)+((Scenarios!$C$13+(Inputs!$B$12-Scenarios!$C$12)*4*(1-Inputs!$B$8)/$D83)/4))+(F83*(1+Scenarios!$C$15)+((Scenarios!$C$13+(Inputs!$B$12-Scenarios!$C$12)*4*(1-Inputs!$B$8)/$D83)/4))</f>
        <v>1.3964919928314141</v>
      </c>
      <c r="L83" s="52">
        <f>(G83+H83)*(1+Scenarios!$C$15)+2*((Scenarios!$C$13+(Inputs!$B$12-Scenarios!$C$12)*4*(1-Inputs!$B$8)/$D83)/4)+((E83*(1+Scenarios!$C$15)+((Scenarios!$C$13+(Inputs!$B$12-Scenarios!$C$12)*4*(1-Inputs!$B$8)/$D83)/4))+(F83*(1+Scenarios!$C$15)+((Scenarios!$C$13+(Inputs!$B$12-Scenarios!$C$12)*4*(1-Inputs!$B$8)/$D83)/4)))*(1+Scenarios!$C$16)</f>
        <v>1.5887493234326429</v>
      </c>
      <c r="M83" s="54">
        <f>(1-(L83/K83-1)/Valuation!$C$32)*K83/(1+Valuation!$C$33)+(1-Valuation!$C$31/Valuation!$C$32)*(L83/(1+Valuation!$C$33)^2+L83*(1+Valuation!$C$31)/(1+Valuation!$C$33)^3+L83*(1+Valuation!$C$31)^2/(1+Valuation!$C$33)^4+L83*(1+Valuation!$C$31)^3/(1+Valuation!$C$33)^5)+L83*(1+Valuation!$C$31)^4*(1-Valuation!$C$34/Valuation!$C$32)/(Valuation!$C$33-Valuation!$C$34)/(1+Valuation!$C$33)^5+(Inputs!$B$10-(Inputs!$B$7-$D83)*Inputs!$B$6/1000)*1000/$D83</f>
        <v>23.103868721663684</v>
      </c>
    </row>
    <row r="84" spans="1:13" x14ac:dyDescent="0.35">
      <c r="A84" s="48" t="s">
        <v>393</v>
      </c>
      <c r="B84" s="50">
        <v>-0.13</v>
      </c>
      <c r="C84" s="50">
        <v>0.55000000000000004</v>
      </c>
      <c r="D84" s="76">
        <v>930</v>
      </c>
      <c r="E84" s="52">
        <f>((Inputs!$B$47*(1+(Inputs!$B$39*(Scenarios!$C$6+((1+$B84)/(1-Inputs!$B$55)-1))+(1-Inputs!$B$39)*Inputs!$B$41))*(1+Scenarios!$C$8)+(Inputs!$B$48-Inputs!$B$50)*(1+Inputs!$B$42)-(Inputs!$B$49*$C84*(1+Scenarios!$C$9)+Inputs!$B$49*(1-$C84)*(1+(Inputs!$B$39*(Scenarios!$C$6+((1+$B84)/(1-Inputs!$B$55)-1))+(1-Inputs!$B$39)*Inputs!$B$41)))-Inputs!$B$51*(1+Inputs!$B$42))+Inputs!$B$52*(1+Inputs!$B$43))*(1-Inputs!$B$8)/$D84</f>
        <v>0.33528802247311829</v>
      </c>
      <c r="F84" s="52">
        <f>((Inputs!$C$47*(1+(Inputs!$B$39*(Scenarios!$C$6+((1+$B84)/(1-Inputs!$C$55)-1))+(1-Inputs!$B$39)*Inputs!$B$41))*(1+Scenarios!$C$8)+(Inputs!$C$48-Inputs!$C$50)*(1+Inputs!$B$42)-(Inputs!$C$49*$C84*(1+Scenarios!$C$9)+Inputs!$C$49*(1-$C84)*(1+(Inputs!$B$39*(Scenarios!$C$6+((1+$B84)/(1-Inputs!$C$55)-1))+(1-Inputs!$B$39)*Inputs!$B$41)))-Inputs!$C$51*(1+Inputs!$B$42))+Inputs!$C$52*(1+Inputs!$B$43))*(1-Inputs!$B$8)/$D84</f>
        <v>0.2998827461827957</v>
      </c>
      <c r="G84" s="52">
        <f>((Inputs!$D$47*(1+(Inputs!$B$39*(Scenarios!$C$6+((1+$B84)/(1-Inputs!$D$55)-1))+(1-Inputs!$B$39)*Inputs!$B$41))*(1+Scenarios!$C$8)+(Inputs!$D$48-Inputs!$D$50)*(1+Inputs!$B$42)-(Inputs!$D$49*$C84*(1+Scenarios!$C$9)+Inputs!$D$49*(1-$C84)*(1+(Inputs!$B$39*(Scenarios!$C$6+((1+$B84)/(1-Inputs!$D$55)-1))+(1-Inputs!$B$39)*Inputs!$B$41)))-Inputs!$D$51*(1+Inputs!$B$42))+Inputs!$D$52*(1+Inputs!$B$43))*(1-Inputs!$B$8)/$D84</f>
        <v>0.36407548032258064</v>
      </c>
      <c r="H84" s="52">
        <f>((Inputs!$E$47*(1+(Inputs!$B$39*(Scenarios!$C$6+((1+$B84)/(1-Inputs!$E$55)-1))+(1-Inputs!$B$39)*Inputs!$B$41))*(1+Scenarios!$C$8)+(Inputs!$E$48-Inputs!$E$50)*(1+Inputs!$B$42)-(Inputs!$E$49*$C84*(1+Scenarios!$C$9)+Inputs!$E$49*(1-$C84)*(1+(Inputs!$B$39*(Scenarios!$C$6+((1+$B84)/(1-Inputs!$E$55)-1))+(1-Inputs!$B$39)*Inputs!$B$41)))-Inputs!$E$51*(1+Inputs!$B$42))+Inputs!$E$52*(1+Inputs!$B$43))*(1-Inputs!$B$8)/$D84</f>
        <v>0.32439405159879348</v>
      </c>
      <c r="I84" s="52">
        <f>E84+(Inputs!$B$12+(-(Inputs!$B$7-$D84)*Inputs!$B$6*(Inputs!$B$12*4/(Inputs!$B$9*1000))/4))*(1-Inputs!$B$8)/$D84</f>
        <v>0.3677806579114879</v>
      </c>
      <c r="J84" s="52">
        <f>SUM(E84:H84)+4*(Inputs!$B$12+(-(Inputs!$B$7-$D84)*Inputs!$B$6*(Inputs!$B$12*4/(Inputs!$B$9*1000))/4))*(1-Inputs!$B$8)/$D84</f>
        <v>1.4536108423307665</v>
      </c>
      <c r="K84" s="52">
        <f>G84+H84+2*(Scenarios!$C$11-Scenarios!$C$10)*(1-Inputs!$B$8)/$D84+(E84*(1+Scenarios!$C$15)+((Scenarios!$C$13+(Inputs!$B$12-Scenarios!$C$12)*4*(1-Inputs!$B$8)/$D84)/4))+(F84*(1+Scenarios!$C$15)+((Scenarios!$C$13+(Inputs!$B$12-Scenarios!$C$12)*4*(1-Inputs!$B$8)/$D84)/4))</f>
        <v>1.3994736960418042</v>
      </c>
      <c r="L84" s="52">
        <f>(G84+H84)*(1+Scenarios!$C$15)+2*((Scenarios!$C$13+(Inputs!$B$12-Scenarios!$C$12)*4*(1-Inputs!$B$8)/$D84)/4)+((E84*(1+Scenarios!$C$15)+((Scenarios!$C$13+(Inputs!$B$12-Scenarios!$C$12)*4*(1-Inputs!$B$8)/$D84)/4))+(F84*(1+Scenarios!$C$15)+((Scenarios!$C$13+(Inputs!$B$12-Scenarios!$C$12)*4*(1-Inputs!$B$8)/$D84)/4)))*(1+Scenarios!$C$16)</f>
        <v>1.5921216875690574</v>
      </c>
      <c r="M84" s="54">
        <f>(1-(L84/K84-1)/Valuation!$C$32)*K84/(1+Valuation!$C$33)+(1-Valuation!$C$31/Valuation!$C$32)*(L84/(1+Valuation!$C$33)^2+L84*(1+Valuation!$C$31)/(1+Valuation!$C$33)^3+L84*(1+Valuation!$C$31)^2/(1+Valuation!$C$33)^4+L84*(1+Valuation!$C$31)^3/(1+Valuation!$C$33)^5)+L84*(1+Valuation!$C$31)^4*(1-Valuation!$C$34/Valuation!$C$32)/(Valuation!$C$33-Valuation!$C$34)/(1+Valuation!$C$33)^5+(Inputs!$B$10-(Inputs!$B$7-$D84)*Inputs!$B$6/1000)*1000/$D84</f>
        <v>23.094409528462304</v>
      </c>
    </row>
    <row r="85" spans="1:13" x14ac:dyDescent="0.35">
      <c r="A85" s="48" t="s">
        <v>394</v>
      </c>
      <c r="B85" s="50">
        <v>-0.13</v>
      </c>
      <c r="C85" s="50">
        <v>0.55000000000000004</v>
      </c>
      <c r="D85" s="76">
        <v>920</v>
      </c>
      <c r="E85" s="52">
        <f>((Inputs!$B$47*(1+(Inputs!$B$39*(Scenarios!$C$6+((1+$B85)/(1-Inputs!$B$55)-1))+(1-Inputs!$B$39)*Inputs!$B$41))*(1+Scenarios!$C$8)+(Inputs!$B$48-Inputs!$B$50)*(1+Inputs!$B$42)-(Inputs!$B$49*$C85*(1+Scenarios!$C$9)+Inputs!$B$49*(1-$C85)*(1+(Inputs!$B$39*(Scenarios!$C$6+((1+$B85)/(1-Inputs!$B$55)-1))+(1-Inputs!$B$39)*Inputs!$B$41)))-Inputs!$B$51*(1+Inputs!$B$42))+Inputs!$B$52*(1+Inputs!$B$43))*(1-Inputs!$B$8)/$D85</f>
        <v>0.33893245750000001</v>
      </c>
      <c r="F85" s="52">
        <f>((Inputs!$C$47*(1+(Inputs!$B$39*(Scenarios!$C$6+((1+$B85)/(1-Inputs!$C$55)-1))+(1-Inputs!$B$39)*Inputs!$B$41))*(1+Scenarios!$C$8)+(Inputs!$C$48-Inputs!$C$50)*(1+Inputs!$B$42)-(Inputs!$C$49*$C85*(1+Scenarios!$C$9)+Inputs!$C$49*(1-$C85)*(1+(Inputs!$B$39*(Scenarios!$C$6+((1+$B85)/(1-Inputs!$C$55)-1))+(1-Inputs!$B$39)*Inputs!$B$41)))-Inputs!$C$51*(1+Inputs!$B$42))+Inputs!$C$52*(1+Inputs!$B$43))*(1-Inputs!$B$8)/$D85</f>
        <v>0.30314234125</v>
      </c>
      <c r="G85" s="52">
        <f>((Inputs!$D$47*(1+(Inputs!$B$39*(Scenarios!$C$6+((1+$B85)/(1-Inputs!$D$55)-1))+(1-Inputs!$B$39)*Inputs!$B$41))*(1+Scenarios!$C$8)+(Inputs!$D$48-Inputs!$D$50)*(1+Inputs!$B$42)-(Inputs!$D$49*$C85*(1+Scenarios!$C$9)+Inputs!$D$49*(1-$C85)*(1+(Inputs!$B$39*(Scenarios!$C$6+((1+$B85)/(1-Inputs!$D$55)-1))+(1-Inputs!$B$39)*Inputs!$B$41)))-Inputs!$D$51*(1+Inputs!$B$42))+Inputs!$D$52*(1+Inputs!$B$43))*(1-Inputs!$B$8)/$D85</f>
        <v>0.36803282249999997</v>
      </c>
      <c r="H85" s="52">
        <f>((Inputs!$E$47*(1+(Inputs!$B$39*(Scenarios!$C$6+((1+$B85)/(1-Inputs!$E$55)-1))+(1-Inputs!$B$39)*Inputs!$B$41))*(1+Scenarios!$C$8)+(Inputs!$E$48-Inputs!$E$50)*(1+Inputs!$B$42)-(Inputs!$E$49*$C85*(1+Scenarios!$C$9)+Inputs!$E$49*(1-$C85)*(1+(Inputs!$B$39*(Scenarios!$C$6+((1+$B85)/(1-Inputs!$E$55)-1))+(1-Inputs!$B$39)*Inputs!$B$41)))-Inputs!$E$51*(1+Inputs!$B$42))+Inputs!$E$52*(1+Inputs!$B$43))*(1-Inputs!$B$8)/$D85</f>
        <v>0.32792007389878036</v>
      </c>
      <c r="I85" s="52">
        <f>E85+(Inputs!$B$12+(-(Inputs!$B$7-$D85)*Inputs!$B$6*(Inputs!$B$12*4/(Inputs!$B$9*1000))/4))*(1-Inputs!$B$8)/$D85</f>
        <v>0.36975735505011137</v>
      </c>
      <c r="J85" s="52">
        <f>SUM(E85:H85)+4*(Inputs!$B$12+(-(Inputs!$B$7-$D85)*Inputs!$B$6*(Inputs!$B$12*4/(Inputs!$B$9*1000))/4))*(1-Inputs!$B$8)/$D85</f>
        <v>1.4613272853492258</v>
      </c>
      <c r="K85" s="52">
        <f>G85+H85+2*(Scenarios!$C$11-Scenarios!$C$10)*(1-Inputs!$B$8)/$D85+(E85*(1+Scenarios!$C$15)+((Scenarios!$C$13+(Inputs!$B$12-Scenarios!$C$12)*4*(1-Inputs!$B$8)/$D85)/4))+(F85*(1+Scenarios!$C$15)+((Scenarios!$C$13+(Inputs!$B$12-Scenarios!$C$12)*4*(1-Inputs!$B$8)/$D85)/4))</f>
        <v>1.4145766709987804</v>
      </c>
      <c r="L85" s="52">
        <f>(G85+H85)*(1+Scenarios!$C$15)+2*((Scenarios!$C$13+(Inputs!$B$12-Scenarios!$C$12)*4*(1-Inputs!$B$8)/$D85)/4)+((E85*(1+Scenarios!$C$15)+((Scenarios!$C$13+(Inputs!$B$12-Scenarios!$C$12)*4*(1-Inputs!$B$8)/$D85)/4))+(F85*(1+Scenarios!$C$15)+((Scenarios!$C$13+(Inputs!$B$12-Scenarios!$C$12)*4*(1-Inputs!$B$8)/$D85)/4)))*(1+Scenarios!$C$16)</f>
        <v>1.609203445042634</v>
      </c>
      <c r="M85" s="54">
        <f>(1-(L85/K85-1)/Valuation!$C$32)*K85/(1+Valuation!$C$33)+(1-Valuation!$C$31/Valuation!$C$32)*(L85/(1+Valuation!$C$33)^2+L85*(1+Valuation!$C$31)/(1+Valuation!$C$33)^3+L85*(1+Valuation!$C$31)^2/(1+Valuation!$C$33)^4+L85*(1+Valuation!$C$31)^3/(1+Valuation!$C$33)^5)+L85*(1+Valuation!$C$31)^4*(1-Valuation!$C$34/Valuation!$C$32)/(Valuation!$C$33-Valuation!$C$34)/(1+Valuation!$C$33)^5+(Inputs!$B$10-(Inputs!$B$7-$D85)*Inputs!$B$6/1000)*1000/$D85</f>
        <v>23.046496658550975</v>
      </c>
    </row>
  </sheetData>
  <pageMargins left="0.75" right="0.75" top="1" bottom="1" header="0.5" footer="0.5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21"/>
  <sheetViews>
    <sheetView showGridLines="0" workbookViewId="0">
      <selection activeCell="A14" sqref="A14"/>
    </sheetView>
  </sheetViews>
  <sheetFormatPr defaultRowHeight="14.5" x14ac:dyDescent="0.35"/>
  <cols>
    <col min="1" max="1" width="50" customWidth="1"/>
    <col min="2" max="2" width="15" customWidth="1"/>
    <col min="3" max="3" width="11" customWidth="1"/>
    <col min="4" max="4" width="7" customWidth="1"/>
    <col min="5" max="6" width="11" customWidth="1"/>
    <col min="7" max="7" width="72" customWidth="1"/>
  </cols>
  <sheetData>
    <row r="1" spans="1:7" ht="18" x14ac:dyDescent="0.35">
      <c r="A1" s="1" t="s">
        <v>395</v>
      </c>
    </row>
    <row r="3" spans="1:7" x14ac:dyDescent="0.35">
      <c r="A3" s="4" t="s">
        <v>396</v>
      </c>
      <c r="B3" s="5"/>
      <c r="C3" s="5"/>
      <c r="D3" s="5"/>
      <c r="E3" s="5"/>
      <c r="F3" s="5"/>
      <c r="G3" s="5"/>
    </row>
    <row r="4" spans="1:7" x14ac:dyDescent="0.35">
      <c r="A4" s="14" t="s">
        <v>397</v>
      </c>
      <c r="B4" s="15" t="s">
        <v>398</v>
      </c>
      <c r="C4" s="15" t="s">
        <v>399</v>
      </c>
      <c r="D4" s="15" t="s">
        <v>400</v>
      </c>
      <c r="E4" s="15" t="s">
        <v>401</v>
      </c>
      <c r="F4" s="15" t="s">
        <v>402</v>
      </c>
      <c r="G4" s="14" t="s">
        <v>403</v>
      </c>
    </row>
    <row r="5" spans="1:7" x14ac:dyDescent="0.35">
      <c r="A5" s="6" t="s">
        <v>404</v>
      </c>
      <c r="B5" s="24" t="s">
        <v>405</v>
      </c>
      <c r="C5" s="27">
        <v>0.41</v>
      </c>
      <c r="D5" s="77">
        <v>4</v>
      </c>
      <c r="E5" s="27">
        <v>0.38</v>
      </c>
      <c r="F5" s="27">
        <v>0.43</v>
      </c>
      <c r="G5" s="29" t="s">
        <v>406</v>
      </c>
    </row>
    <row r="6" spans="1:7" x14ac:dyDescent="0.35">
      <c r="A6" s="6" t="s">
        <v>407</v>
      </c>
      <c r="B6" s="24" t="s">
        <v>405</v>
      </c>
      <c r="C6" s="27">
        <v>0.37</v>
      </c>
      <c r="D6" s="77">
        <v>4</v>
      </c>
      <c r="E6" s="27">
        <v>0.36</v>
      </c>
      <c r="F6" s="27">
        <v>0.39</v>
      </c>
      <c r="G6" s="29"/>
    </row>
    <row r="7" spans="1:7" x14ac:dyDescent="0.35">
      <c r="A7" s="6" t="s">
        <v>408</v>
      </c>
      <c r="B7" s="24" t="s">
        <v>405</v>
      </c>
      <c r="C7" s="27">
        <v>0.45</v>
      </c>
      <c r="D7" s="77">
        <v>4</v>
      </c>
      <c r="E7" s="27">
        <v>0.43</v>
      </c>
      <c r="F7" s="27">
        <v>0.47</v>
      </c>
      <c r="G7" s="29"/>
    </row>
    <row r="8" spans="1:7" x14ac:dyDescent="0.35">
      <c r="A8" s="6" t="s">
        <v>409</v>
      </c>
      <c r="B8" s="24" t="s">
        <v>405</v>
      </c>
      <c r="C8" s="27">
        <v>0.41</v>
      </c>
      <c r="D8" s="77">
        <v>4</v>
      </c>
      <c r="E8" s="27">
        <v>0.38</v>
      </c>
      <c r="F8" s="27">
        <v>0.44</v>
      </c>
      <c r="G8" s="29"/>
    </row>
    <row r="9" spans="1:7" ht="28" customHeight="1" x14ac:dyDescent="0.35">
      <c r="A9" s="6" t="s">
        <v>410</v>
      </c>
      <c r="B9" s="24" t="s">
        <v>411</v>
      </c>
      <c r="C9" s="27">
        <v>1.62</v>
      </c>
      <c r="D9" s="77">
        <v>9</v>
      </c>
      <c r="E9" s="27">
        <v>1.56</v>
      </c>
      <c r="F9" s="27">
        <v>1.67</v>
      </c>
      <c r="G9" s="29" t="s">
        <v>412</v>
      </c>
    </row>
    <row r="10" spans="1:7" x14ac:dyDescent="0.35">
      <c r="A10" s="6" t="s">
        <v>413</v>
      </c>
      <c r="B10" s="24" t="s">
        <v>405</v>
      </c>
      <c r="C10" s="27">
        <v>1.65</v>
      </c>
      <c r="D10" s="77">
        <v>5</v>
      </c>
      <c r="E10" s="27">
        <v>1.57</v>
      </c>
      <c r="F10" s="27">
        <v>1.7</v>
      </c>
      <c r="G10" s="29" t="s">
        <v>414</v>
      </c>
    </row>
    <row r="11" spans="1:7" x14ac:dyDescent="0.35">
      <c r="A11" s="6" t="s">
        <v>415</v>
      </c>
      <c r="B11" s="24" t="s">
        <v>405</v>
      </c>
      <c r="C11" s="27">
        <v>1.81</v>
      </c>
      <c r="D11" s="77">
        <v>5</v>
      </c>
      <c r="E11" s="27">
        <v>1.72</v>
      </c>
      <c r="F11" s="27">
        <v>1.88</v>
      </c>
      <c r="G11" s="29"/>
    </row>
    <row r="12" spans="1:7" ht="28" customHeight="1" x14ac:dyDescent="0.35">
      <c r="A12" s="6" t="s">
        <v>416</v>
      </c>
      <c r="B12" s="24" t="s">
        <v>405</v>
      </c>
      <c r="C12" s="27">
        <v>1.75</v>
      </c>
      <c r="D12" s="77">
        <v>8</v>
      </c>
      <c r="E12" s="27">
        <v>1.62</v>
      </c>
      <c r="F12" s="27">
        <v>1.83</v>
      </c>
      <c r="G12" s="29" t="s">
        <v>417</v>
      </c>
    </row>
    <row r="14" spans="1:7" x14ac:dyDescent="0.35">
      <c r="A14" s="4" t="s">
        <v>418</v>
      </c>
      <c r="B14" s="5"/>
      <c r="C14" s="5"/>
      <c r="D14" s="5"/>
      <c r="E14" s="5"/>
      <c r="F14" s="5"/>
      <c r="G14" s="5"/>
    </row>
    <row r="15" spans="1:7" x14ac:dyDescent="0.35">
      <c r="A15" s="14" t="s">
        <v>419</v>
      </c>
      <c r="B15" s="15" t="s">
        <v>420</v>
      </c>
      <c r="C15" s="15" t="s">
        <v>9</v>
      </c>
      <c r="D15" s="15" t="s">
        <v>10</v>
      </c>
      <c r="E15" s="15"/>
      <c r="F15" s="15"/>
      <c r="G15" s="14" t="s">
        <v>357</v>
      </c>
    </row>
    <row r="16" spans="1:7" x14ac:dyDescent="0.35">
      <c r="A16" s="6" t="s">
        <v>421</v>
      </c>
      <c r="B16" s="7">
        <f>EPS_Build!B46</f>
        <v>0.3673904086909871</v>
      </c>
      <c r="C16" s="46">
        <f>C5</f>
        <v>0.41</v>
      </c>
      <c r="D16" s="33">
        <f t="shared" ref="D16:D21" si="0">B16/C16-1</f>
        <v>-0.10392583246100706</v>
      </c>
      <c r="E16" s="43"/>
      <c r="F16" s="43"/>
      <c r="G16" s="29" t="s">
        <v>422</v>
      </c>
    </row>
    <row r="17" spans="1:7" x14ac:dyDescent="0.35">
      <c r="A17" s="6" t="s">
        <v>423</v>
      </c>
      <c r="B17" s="7">
        <f>EPS_Build!C46</f>
        <v>0.33206110938841205</v>
      </c>
      <c r="C17" s="46">
        <f>C6</f>
        <v>0.37</v>
      </c>
      <c r="D17" s="33">
        <f t="shared" si="0"/>
        <v>-0.10253754219348099</v>
      </c>
      <c r="E17" s="43"/>
      <c r="F17" s="43"/>
      <c r="G17" s="29"/>
    </row>
    <row r="18" spans="1:7" x14ac:dyDescent="0.35">
      <c r="A18" s="6" t="s">
        <v>424</v>
      </c>
      <c r="B18" s="7">
        <f>EPS_Build!$F$46</f>
        <v>1.4520874243957917</v>
      </c>
      <c r="C18" s="46">
        <f>C9</f>
        <v>1.62</v>
      </c>
      <c r="D18" s="33">
        <f t="shared" si="0"/>
        <v>-0.10364973802728905</v>
      </c>
      <c r="E18" s="43"/>
      <c r="F18" s="43"/>
      <c r="G18" s="29" t="s">
        <v>425</v>
      </c>
    </row>
    <row r="19" spans="1:7" x14ac:dyDescent="0.35">
      <c r="A19" s="6" t="s">
        <v>426</v>
      </c>
      <c r="B19" s="7">
        <f>EPS_Build!$F$46</f>
        <v>1.4520874243957917</v>
      </c>
      <c r="C19" s="46">
        <f>C10</f>
        <v>1.65</v>
      </c>
      <c r="D19" s="33">
        <f t="shared" si="0"/>
        <v>-0.11994701551770193</v>
      </c>
      <c r="E19" s="43"/>
      <c r="F19" s="43"/>
      <c r="G19" s="29"/>
    </row>
    <row r="20" spans="1:7" ht="28" customHeight="1" x14ac:dyDescent="0.35">
      <c r="A20" s="6" t="s">
        <v>427</v>
      </c>
      <c r="B20" s="7">
        <f>EPS_Build!$F$49</f>
        <v>1.3829887119494397</v>
      </c>
      <c r="C20" s="46">
        <f>C9</f>
        <v>1.62</v>
      </c>
      <c r="D20" s="33">
        <f t="shared" si="0"/>
        <v>-0.14630326422874096</v>
      </c>
      <c r="E20" s="43"/>
      <c r="F20" s="43"/>
      <c r="G20" s="29" t="s">
        <v>428</v>
      </c>
    </row>
    <row r="21" spans="1:7" x14ac:dyDescent="0.35">
      <c r="A21" s="6" t="s">
        <v>429</v>
      </c>
      <c r="B21" s="7">
        <f>Valuation!C14</f>
        <v>1.6305834088855189</v>
      </c>
      <c r="C21" s="46">
        <f>C11</f>
        <v>1.81</v>
      </c>
      <c r="D21" s="33">
        <f t="shared" si="0"/>
        <v>-9.9125188461039349E-2</v>
      </c>
      <c r="E21" s="43"/>
      <c r="F21" s="43"/>
      <c r="G21" s="29" t="s">
        <v>430</v>
      </c>
    </row>
  </sheetData>
  <pageMargins left="0.75" right="0.75" top="1" bottom="1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15"/>
  <sheetViews>
    <sheetView showGridLines="0" workbookViewId="0"/>
  </sheetViews>
  <sheetFormatPr defaultRowHeight="14.5" x14ac:dyDescent="0.35"/>
  <cols>
    <col min="1" max="1" width="24" customWidth="1"/>
    <col min="2" max="2" width="30" customWidth="1"/>
    <col min="3" max="3" width="64" customWidth="1"/>
    <col min="4" max="4" width="26" customWidth="1"/>
    <col min="5" max="5" width="32" customWidth="1"/>
  </cols>
  <sheetData>
    <row r="1" spans="1:5" ht="18" x14ac:dyDescent="0.35">
      <c r="A1" s="1" t="s">
        <v>431</v>
      </c>
    </row>
    <row r="3" spans="1:5" x14ac:dyDescent="0.35">
      <c r="A3" s="4" t="s">
        <v>432</v>
      </c>
      <c r="B3" s="5"/>
      <c r="C3" s="5"/>
      <c r="D3" s="5"/>
      <c r="E3" s="5"/>
    </row>
    <row r="4" spans="1:5" x14ac:dyDescent="0.35">
      <c r="A4" s="14" t="s">
        <v>433</v>
      </c>
      <c r="B4" s="14" t="s">
        <v>434</v>
      </c>
      <c r="C4" s="14" t="s">
        <v>435</v>
      </c>
      <c r="D4" s="14" t="s">
        <v>436</v>
      </c>
      <c r="E4" s="14" t="s">
        <v>437</v>
      </c>
    </row>
    <row r="5" spans="1:5" ht="28" customHeight="1" x14ac:dyDescent="0.35">
      <c r="A5" s="29" t="s">
        <v>438</v>
      </c>
      <c r="B5" s="29" t="s">
        <v>439</v>
      </c>
      <c r="C5" s="29" t="s">
        <v>440</v>
      </c>
      <c r="D5" s="29" t="s">
        <v>441</v>
      </c>
      <c r="E5" s="29" t="s">
        <v>442</v>
      </c>
    </row>
    <row r="6" spans="1:5" ht="28" customHeight="1" x14ac:dyDescent="0.35">
      <c r="A6" s="29" t="s">
        <v>443</v>
      </c>
      <c r="B6" s="29" t="s">
        <v>444</v>
      </c>
      <c r="C6" s="29" t="s">
        <v>445</v>
      </c>
      <c r="D6" s="29" t="s">
        <v>441</v>
      </c>
      <c r="E6" s="29" t="s">
        <v>446</v>
      </c>
    </row>
    <row r="7" spans="1:5" ht="28" customHeight="1" x14ac:dyDescent="0.35">
      <c r="A7" s="29" t="s">
        <v>447</v>
      </c>
      <c r="B7" s="29" t="s">
        <v>448</v>
      </c>
      <c r="C7" s="29" t="s">
        <v>449</v>
      </c>
      <c r="D7" s="29" t="s">
        <v>450</v>
      </c>
      <c r="E7" s="29" t="s">
        <v>451</v>
      </c>
    </row>
    <row r="8" spans="1:5" ht="40.5" customHeight="1" x14ac:dyDescent="0.35">
      <c r="A8" s="29" t="s">
        <v>36</v>
      </c>
      <c r="B8" s="29" t="s">
        <v>452</v>
      </c>
      <c r="C8" s="29" t="s">
        <v>453</v>
      </c>
      <c r="D8" s="29" t="s">
        <v>454</v>
      </c>
      <c r="E8" s="29" t="s">
        <v>455</v>
      </c>
    </row>
    <row r="9" spans="1:5" ht="40.5" customHeight="1" x14ac:dyDescent="0.35">
      <c r="A9" s="29" t="s">
        <v>38</v>
      </c>
      <c r="B9" s="29" t="s">
        <v>456</v>
      </c>
      <c r="C9" s="29" t="s">
        <v>457</v>
      </c>
      <c r="D9" s="29" t="s">
        <v>458</v>
      </c>
      <c r="E9" s="29" t="s">
        <v>455</v>
      </c>
    </row>
    <row r="11" spans="1:5" x14ac:dyDescent="0.35">
      <c r="A11" s="4" t="s">
        <v>459</v>
      </c>
      <c r="B11" s="5"/>
      <c r="C11" s="5"/>
      <c r="D11" s="5"/>
      <c r="E11" s="5"/>
    </row>
    <row r="12" spans="1:5" x14ac:dyDescent="0.35">
      <c r="A12" s="14" t="s">
        <v>460</v>
      </c>
      <c r="B12" s="15" t="s">
        <v>461</v>
      </c>
      <c r="C12" s="15" t="s">
        <v>462</v>
      </c>
      <c r="D12" s="15"/>
      <c r="E12" s="14" t="s">
        <v>463</v>
      </c>
    </row>
    <row r="13" spans="1:5" ht="28" customHeight="1" x14ac:dyDescent="0.35">
      <c r="A13" s="29" t="s">
        <v>196</v>
      </c>
      <c r="B13" s="31">
        <v>-0.06</v>
      </c>
      <c r="C13" s="11">
        <f>EPS_Build!B32</f>
        <v>-0.12000000000000001</v>
      </c>
      <c r="D13" s="43"/>
      <c r="E13" s="29" t="s">
        <v>464</v>
      </c>
    </row>
    <row r="14" spans="1:5" ht="28" customHeight="1" x14ac:dyDescent="0.35">
      <c r="A14" s="29" t="s">
        <v>207</v>
      </c>
      <c r="B14" s="31">
        <v>0.36</v>
      </c>
      <c r="C14" s="11">
        <f>EPS_Build!B43</f>
        <v>0.34108031227964086</v>
      </c>
      <c r="D14" s="43"/>
      <c r="E14" s="29" t="s">
        <v>465</v>
      </c>
    </row>
    <row r="15" spans="1:5" ht="40.5" customHeight="1" x14ac:dyDescent="0.35">
      <c r="A15" s="29" t="s">
        <v>466</v>
      </c>
      <c r="B15" s="31">
        <v>0.03</v>
      </c>
      <c r="C15" s="43"/>
      <c r="D15" s="43"/>
      <c r="E15" s="29" t="s">
        <v>467</v>
      </c>
    </row>
  </sheetData>
  <pageMargins left="0.75" right="0.75" top="1" bottom="1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38"/>
  <sheetViews>
    <sheetView showGridLines="0" workbookViewId="0">
      <pane ySplit="3" topLeftCell="A4" activePane="bottomLeft" state="frozen"/>
      <selection pane="bottomLeft" activeCell="C8" sqref="C8"/>
    </sheetView>
  </sheetViews>
  <sheetFormatPr defaultRowHeight="14.5" x14ac:dyDescent="0.35"/>
  <cols>
    <col min="1" max="1" width="5" customWidth="1"/>
    <col min="2" max="2" width="34" customWidth="1"/>
    <col min="3" max="3" width="30" customWidth="1"/>
    <col min="4" max="4" width="34" customWidth="1"/>
    <col min="5" max="5" width="18" customWidth="1"/>
    <col min="6" max="6" width="13" customWidth="1"/>
    <col min="7" max="7" width="50" customWidth="1"/>
    <col min="8" max="8" width="38" customWidth="1"/>
  </cols>
  <sheetData>
    <row r="1" spans="1:8" ht="18" x14ac:dyDescent="0.35">
      <c r="A1" s="1" t="s">
        <v>678</v>
      </c>
    </row>
    <row r="2" spans="1:8" x14ac:dyDescent="0.35">
      <c r="A2" s="3" t="s">
        <v>468</v>
      </c>
    </row>
    <row r="4" spans="1:8" x14ac:dyDescent="0.35">
      <c r="A4" s="15" t="s">
        <v>469</v>
      </c>
      <c r="B4" s="14" t="s">
        <v>470</v>
      </c>
      <c r="C4" s="14" t="s">
        <v>59</v>
      </c>
      <c r="D4" s="14" t="s">
        <v>437</v>
      </c>
      <c r="E4" s="14" t="s">
        <v>61</v>
      </c>
      <c r="F4" s="15" t="s">
        <v>433</v>
      </c>
      <c r="G4" s="14" t="s">
        <v>471</v>
      </c>
      <c r="H4" s="14" t="s">
        <v>472</v>
      </c>
    </row>
    <row r="5" spans="1:8" ht="40.5" customHeight="1" x14ac:dyDescent="0.35">
      <c r="A5" s="24">
        <v>1</v>
      </c>
      <c r="B5" s="29" t="s">
        <v>473</v>
      </c>
      <c r="C5" s="29" t="s">
        <v>474</v>
      </c>
      <c r="D5" s="29" t="s">
        <v>475</v>
      </c>
      <c r="E5" s="29" t="s">
        <v>76</v>
      </c>
      <c r="F5" s="78" t="s">
        <v>476</v>
      </c>
      <c r="G5" s="29" t="s">
        <v>477</v>
      </c>
      <c r="H5" s="29" t="s">
        <v>478</v>
      </c>
    </row>
    <row r="6" spans="1:8" ht="28" customHeight="1" x14ac:dyDescent="0.35">
      <c r="A6" s="24">
        <v>2</v>
      </c>
      <c r="B6" s="29" t="s">
        <v>479</v>
      </c>
      <c r="C6" s="29" t="s">
        <v>480</v>
      </c>
      <c r="D6" s="29" t="s">
        <v>481</v>
      </c>
      <c r="E6" s="29" t="s">
        <v>76</v>
      </c>
      <c r="F6" s="78" t="s">
        <v>482</v>
      </c>
      <c r="G6" s="29" t="s">
        <v>483</v>
      </c>
      <c r="H6" s="29"/>
    </row>
    <row r="7" spans="1:8" ht="40.5" customHeight="1" x14ac:dyDescent="0.35">
      <c r="A7" s="24">
        <v>3</v>
      </c>
      <c r="B7" s="29" t="s">
        <v>484</v>
      </c>
      <c r="C7" s="29" t="s">
        <v>485</v>
      </c>
      <c r="D7" s="29" t="s">
        <v>486</v>
      </c>
      <c r="E7" s="29" t="s">
        <v>76</v>
      </c>
      <c r="F7" s="78" t="s">
        <v>487</v>
      </c>
      <c r="G7" s="29" t="s">
        <v>488</v>
      </c>
      <c r="H7" s="29" t="s">
        <v>489</v>
      </c>
    </row>
    <row r="8" spans="1:8" ht="40.5" customHeight="1" x14ac:dyDescent="0.35">
      <c r="A8" s="24">
        <v>4</v>
      </c>
      <c r="B8" s="29" t="s">
        <v>490</v>
      </c>
      <c r="C8" s="29" t="s">
        <v>491</v>
      </c>
      <c r="D8" s="29" t="s">
        <v>492</v>
      </c>
      <c r="E8" s="29" t="s">
        <v>76</v>
      </c>
      <c r="F8" s="78" t="s">
        <v>476</v>
      </c>
      <c r="G8" s="29" t="s">
        <v>493</v>
      </c>
      <c r="H8" s="29" t="s">
        <v>494</v>
      </c>
    </row>
    <row r="9" spans="1:8" x14ac:dyDescent="0.35">
      <c r="A9" s="24">
        <v>5</v>
      </c>
      <c r="B9" s="29" t="s">
        <v>70</v>
      </c>
      <c r="C9" s="29" t="s">
        <v>495</v>
      </c>
      <c r="D9" s="29" t="s">
        <v>496</v>
      </c>
      <c r="E9" s="29" t="s">
        <v>76</v>
      </c>
      <c r="F9" s="78" t="s">
        <v>476</v>
      </c>
      <c r="G9" s="29" t="s">
        <v>493</v>
      </c>
      <c r="H9" s="29" t="s">
        <v>497</v>
      </c>
    </row>
    <row r="10" spans="1:8" ht="28" customHeight="1" x14ac:dyDescent="0.35">
      <c r="A10" s="24">
        <v>6</v>
      </c>
      <c r="B10" s="29" t="s">
        <v>498</v>
      </c>
      <c r="C10" s="29" t="s">
        <v>499</v>
      </c>
      <c r="D10" s="29" t="s">
        <v>500</v>
      </c>
      <c r="E10" s="29" t="s">
        <v>76</v>
      </c>
      <c r="F10" s="78" t="s">
        <v>476</v>
      </c>
      <c r="G10" s="29" t="s">
        <v>493</v>
      </c>
      <c r="H10" s="29"/>
    </row>
    <row r="11" spans="1:8" ht="28" customHeight="1" x14ac:dyDescent="0.35">
      <c r="A11" s="24">
        <v>7</v>
      </c>
      <c r="B11" s="29" t="s">
        <v>501</v>
      </c>
      <c r="C11" s="29" t="s">
        <v>502</v>
      </c>
      <c r="D11" s="29" t="s">
        <v>503</v>
      </c>
      <c r="E11" s="29" t="s">
        <v>76</v>
      </c>
      <c r="F11" s="78" t="s">
        <v>476</v>
      </c>
      <c r="G11" s="29" t="s">
        <v>493</v>
      </c>
      <c r="H11" s="29" t="s">
        <v>504</v>
      </c>
    </row>
    <row r="12" spans="1:8" x14ac:dyDescent="0.35">
      <c r="A12" s="24">
        <v>8</v>
      </c>
      <c r="B12" s="29" t="s">
        <v>505</v>
      </c>
      <c r="C12" s="29" t="s">
        <v>506</v>
      </c>
      <c r="D12" s="29" t="s">
        <v>475</v>
      </c>
      <c r="E12" s="29" t="s">
        <v>76</v>
      </c>
      <c r="F12" s="78" t="s">
        <v>476</v>
      </c>
      <c r="G12" s="29" t="s">
        <v>493</v>
      </c>
      <c r="H12" s="29"/>
    </row>
    <row r="13" spans="1:8" ht="28" customHeight="1" x14ac:dyDescent="0.35">
      <c r="A13" s="24">
        <v>9</v>
      </c>
      <c r="B13" s="29" t="s">
        <v>507</v>
      </c>
      <c r="C13" s="29" t="s">
        <v>508</v>
      </c>
      <c r="D13" s="29" t="s">
        <v>509</v>
      </c>
      <c r="E13" s="29" t="s">
        <v>76</v>
      </c>
      <c r="F13" s="78" t="s">
        <v>487</v>
      </c>
      <c r="G13" s="29" t="s">
        <v>510</v>
      </c>
      <c r="H13" s="29"/>
    </row>
    <row r="14" spans="1:8" ht="40.5" customHeight="1" x14ac:dyDescent="0.35">
      <c r="A14" s="24">
        <v>10</v>
      </c>
      <c r="B14" s="29" t="s">
        <v>511</v>
      </c>
      <c r="C14" s="29" t="s">
        <v>512</v>
      </c>
      <c r="D14" s="29" t="s">
        <v>513</v>
      </c>
      <c r="E14" s="29" t="s">
        <v>514</v>
      </c>
      <c r="F14" s="78" t="s">
        <v>515</v>
      </c>
      <c r="G14" s="29" t="s">
        <v>516</v>
      </c>
      <c r="H14" s="29" t="s">
        <v>517</v>
      </c>
    </row>
    <row r="15" spans="1:8" ht="40.5" customHeight="1" x14ac:dyDescent="0.35">
      <c r="A15" s="24">
        <v>11</v>
      </c>
      <c r="B15" s="29" t="s">
        <v>518</v>
      </c>
      <c r="C15" s="29" t="s">
        <v>519</v>
      </c>
      <c r="D15" s="29" t="s">
        <v>513</v>
      </c>
      <c r="E15" s="29" t="s">
        <v>514</v>
      </c>
      <c r="F15" s="78" t="s">
        <v>515</v>
      </c>
      <c r="G15" s="29" t="s">
        <v>520</v>
      </c>
      <c r="H15" s="29"/>
    </row>
    <row r="16" spans="1:8" ht="40.5" customHeight="1" x14ac:dyDescent="0.35">
      <c r="A16" s="24">
        <v>12</v>
      </c>
      <c r="B16" s="29" t="s">
        <v>521</v>
      </c>
      <c r="C16" s="29" t="s">
        <v>522</v>
      </c>
      <c r="D16" s="29" t="s">
        <v>523</v>
      </c>
      <c r="E16" s="29" t="s">
        <v>76</v>
      </c>
      <c r="F16" s="78" t="s">
        <v>524</v>
      </c>
      <c r="G16" s="29" t="s">
        <v>525</v>
      </c>
      <c r="H16" s="29" t="s">
        <v>526</v>
      </c>
    </row>
    <row r="17" spans="1:8" ht="65.5" customHeight="1" x14ac:dyDescent="0.35">
      <c r="A17" s="24">
        <v>13</v>
      </c>
      <c r="B17" s="29" t="s">
        <v>527</v>
      </c>
      <c r="C17" s="29" t="s">
        <v>528</v>
      </c>
      <c r="D17" s="29" t="s">
        <v>529</v>
      </c>
      <c r="E17" s="29" t="s">
        <v>530</v>
      </c>
      <c r="F17" s="78" t="s">
        <v>531</v>
      </c>
      <c r="G17" s="29" t="s">
        <v>532</v>
      </c>
      <c r="H17" s="29" t="s">
        <v>533</v>
      </c>
    </row>
    <row r="18" spans="1:8" ht="28" customHeight="1" x14ac:dyDescent="0.35">
      <c r="A18" s="24">
        <v>14</v>
      </c>
      <c r="B18" s="29" t="s">
        <v>534</v>
      </c>
      <c r="C18" s="29" t="s">
        <v>535</v>
      </c>
      <c r="D18" s="29" t="s">
        <v>536</v>
      </c>
      <c r="E18" s="29" t="s">
        <v>76</v>
      </c>
      <c r="F18" s="78" t="s">
        <v>537</v>
      </c>
      <c r="G18" s="29" t="s">
        <v>538</v>
      </c>
      <c r="H18" s="29"/>
    </row>
    <row r="19" spans="1:8" ht="103" customHeight="1" x14ac:dyDescent="0.35">
      <c r="A19" s="24">
        <v>15</v>
      </c>
      <c r="B19" s="29" t="s">
        <v>539</v>
      </c>
      <c r="C19" s="29" t="s">
        <v>540</v>
      </c>
      <c r="D19" s="29" t="s">
        <v>541</v>
      </c>
      <c r="E19" s="29" t="s">
        <v>76</v>
      </c>
      <c r="F19" s="78" t="s">
        <v>542</v>
      </c>
      <c r="G19" s="29" t="s">
        <v>543</v>
      </c>
      <c r="H19" s="29" t="s">
        <v>544</v>
      </c>
    </row>
    <row r="20" spans="1:8" ht="53" customHeight="1" x14ac:dyDescent="0.35">
      <c r="A20" s="24">
        <v>16</v>
      </c>
      <c r="B20" s="29" t="s">
        <v>545</v>
      </c>
      <c r="C20" s="29" t="s">
        <v>546</v>
      </c>
      <c r="D20" s="29" t="s">
        <v>547</v>
      </c>
      <c r="E20" s="29" t="s">
        <v>76</v>
      </c>
      <c r="F20" s="78" t="s">
        <v>548</v>
      </c>
      <c r="G20" s="29" t="s">
        <v>549</v>
      </c>
      <c r="H20" s="29" t="s">
        <v>304</v>
      </c>
    </row>
    <row r="21" spans="1:8" ht="28" customHeight="1" x14ac:dyDescent="0.35">
      <c r="A21" s="24">
        <v>17</v>
      </c>
      <c r="B21" s="29" t="s">
        <v>550</v>
      </c>
      <c r="C21" s="29" t="s">
        <v>551</v>
      </c>
      <c r="D21" s="29" t="s">
        <v>552</v>
      </c>
      <c r="E21" s="29" t="s">
        <v>76</v>
      </c>
      <c r="F21" s="78" t="s">
        <v>405</v>
      </c>
      <c r="G21" s="29" t="s">
        <v>553</v>
      </c>
      <c r="H21" s="29"/>
    </row>
    <row r="22" spans="1:8" ht="28" customHeight="1" x14ac:dyDescent="0.35">
      <c r="A22" s="24">
        <v>18</v>
      </c>
      <c r="B22" s="29" t="s">
        <v>554</v>
      </c>
      <c r="C22" s="29" t="s">
        <v>555</v>
      </c>
      <c r="D22" s="29" t="s">
        <v>552</v>
      </c>
      <c r="E22" s="29" t="s">
        <v>76</v>
      </c>
      <c r="F22" s="78" t="s">
        <v>476</v>
      </c>
      <c r="G22" s="29" t="s">
        <v>556</v>
      </c>
      <c r="H22" s="29"/>
    </row>
    <row r="23" spans="1:8" ht="28" customHeight="1" x14ac:dyDescent="0.35">
      <c r="A23" s="24">
        <v>19</v>
      </c>
      <c r="B23" s="29" t="s">
        <v>557</v>
      </c>
      <c r="C23" s="29" t="s">
        <v>558</v>
      </c>
      <c r="D23" s="29" t="s">
        <v>559</v>
      </c>
      <c r="E23" s="29" t="s">
        <v>76</v>
      </c>
      <c r="F23" s="78" t="s">
        <v>560</v>
      </c>
      <c r="G23" s="29" t="s">
        <v>561</v>
      </c>
      <c r="H23" s="29"/>
    </row>
    <row r="24" spans="1:8" ht="28" customHeight="1" x14ac:dyDescent="0.35">
      <c r="A24" s="24">
        <v>20</v>
      </c>
      <c r="B24" s="29" t="s">
        <v>562</v>
      </c>
      <c r="C24" s="29" t="s">
        <v>563</v>
      </c>
      <c r="D24" s="29" t="s">
        <v>564</v>
      </c>
      <c r="E24" s="29" t="s">
        <v>76</v>
      </c>
      <c r="F24" s="78" t="s">
        <v>405</v>
      </c>
      <c r="G24" s="29" t="s">
        <v>565</v>
      </c>
      <c r="H24" s="29"/>
    </row>
    <row r="25" spans="1:8" ht="28" customHeight="1" x14ac:dyDescent="0.35">
      <c r="A25" s="24">
        <v>21</v>
      </c>
      <c r="B25" s="29" t="s">
        <v>566</v>
      </c>
      <c r="C25" s="29" t="s">
        <v>567</v>
      </c>
      <c r="D25" s="29" t="s">
        <v>568</v>
      </c>
      <c r="E25" s="29" t="s">
        <v>65</v>
      </c>
      <c r="F25" s="78" t="s">
        <v>569</v>
      </c>
      <c r="G25" s="29" t="s">
        <v>570</v>
      </c>
      <c r="H25" s="29" t="s">
        <v>571</v>
      </c>
    </row>
    <row r="26" spans="1:8" ht="28" customHeight="1" x14ac:dyDescent="0.35">
      <c r="A26" s="24">
        <v>22</v>
      </c>
      <c r="B26" s="29" t="s">
        <v>572</v>
      </c>
      <c r="C26" s="29" t="s">
        <v>573</v>
      </c>
      <c r="D26" s="29" t="s">
        <v>574</v>
      </c>
      <c r="E26" s="29" t="s">
        <v>575</v>
      </c>
      <c r="F26" s="78" t="s">
        <v>576</v>
      </c>
      <c r="G26" s="29" t="s">
        <v>577</v>
      </c>
      <c r="H26" s="29" t="s">
        <v>578</v>
      </c>
    </row>
    <row r="27" spans="1:8" ht="28" customHeight="1" x14ac:dyDescent="0.35">
      <c r="A27" s="24">
        <v>23</v>
      </c>
      <c r="B27" s="29" t="s">
        <v>579</v>
      </c>
      <c r="C27" s="29" t="s">
        <v>580</v>
      </c>
      <c r="D27" s="29" t="s">
        <v>581</v>
      </c>
      <c r="E27" s="29" t="s">
        <v>65</v>
      </c>
      <c r="F27" s="78" t="s">
        <v>405</v>
      </c>
      <c r="G27" s="29" t="s">
        <v>582</v>
      </c>
      <c r="H27" s="29"/>
    </row>
    <row r="28" spans="1:8" ht="28" customHeight="1" x14ac:dyDescent="0.35">
      <c r="A28" s="24">
        <v>24</v>
      </c>
      <c r="B28" s="29" t="s">
        <v>583</v>
      </c>
      <c r="C28" s="29" t="s">
        <v>584</v>
      </c>
      <c r="D28" s="29" t="s">
        <v>585</v>
      </c>
      <c r="E28" s="29" t="s">
        <v>575</v>
      </c>
      <c r="F28" s="78" t="s">
        <v>411</v>
      </c>
      <c r="G28" s="29" t="s">
        <v>586</v>
      </c>
      <c r="H28" s="29" t="s">
        <v>587</v>
      </c>
    </row>
    <row r="29" spans="1:8" x14ac:dyDescent="0.35">
      <c r="A29" s="24">
        <v>25</v>
      </c>
      <c r="B29" s="29" t="s">
        <v>588</v>
      </c>
      <c r="C29" s="29" t="s">
        <v>589</v>
      </c>
      <c r="D29" s="29" t="s">
        <v>590</v>
      </c>
      <c r="E29" s="29" t="s">
        <v>575</v>
      </c>
      <c r="F29" s="78" t="s">
        <v>405</v>
      </c>
      <c r="G29" s="29" t="s">
        <v>591</v>
      </c>
      <c r="H29" s="29" t="s">
        <v>592</v>
      </c>
    </row>
    <row r="30" spans="1:8" ht="28" customHeight="1" x14ac:dyDescent="0.35">
      <c r="A30" s="24">
        <v>26</v>
      </c>
      <c r="B30" s="29" t="s">
        <v>593</v>
      </c>
      <c r="C30" s="29" t="s">
        <v>594</v>
      </c>
      <c r="D30" s="29" t="s">
        <v>595</v>
      </c>
      <c r="E30" s="29" t="s">
        <v>575</v>
      </c>
      <c r="F30" s="78" t="s">
        <v>596</v>
      </c>
      <c r="G30" s="29" t="s">
        <v>597</v>
      </c>
      <c r="H30" s="29" t="s">
        <v>598</v>
      </c>
    </row>
    <row r="31" spans="1:8" ht="28" customHeight="1" x14ac:dyDescent="0.35">
      <c r="A31" s="24">
        <v>27</v>
      </c>
      <c r="B31" s="29" t="s">
        <v>599</v>
      </c>
      <c r="C31" s="29" t="s">
        <v>600</v>
      </c>
      <c r="D31" s="29" t="s">
        <v>601</v>
      </c>
      <c r="E31" s="29" t="s">
        <v>97</v>
      </c>
      <c r="F31" s="78" t="s">
        <v>602</v>
      </c>
      <c r="G31" s="29" t="s">
        <v>603</v>
      </c>
      <c r="H31" s="29" t="s">
        <v>604</v>
      </c>
    </row>
    <row r="32" spans="1:8" ht="28" customHeight="1" x14ac:dyDescent="0.35">
      <c r="A32" s="24">
        <v>28</v>
      </c>
      <c r="B32" s="29" t="s">
        <v>605</v>
      </c>
      <c r="C32" s="29" t="s">
        <v>606</v>
      </c>
      <c r="D32" s="29" t="s">
        <v>607</v>
      </c>
      <c r="E32" s="29" t="s">
        <v>79</v>
      </c>
      <c r="F32" s="78" t="s">
        <v>602</v>
      </c>
      <c r="G32" s="29" t="s">
        <v>608</v>
      </c>
      <c r="H32" s="29" t="s">
        <v>609</v>
      </c>
    </row>
    <row r="33" spans="1:8" x14ac:dyDescent="0.35">
      <c r="A33" s="24">
        <v>29</v>
      </c>
      <c r="B33" s="29" t="s">
        <v>610</v>
      </c>
      <c r="C33" s="29" t="s">
        <v>480</v>
      </c>
      <c r="D33" s="29" t="s">
        <v>611</v>
      </c>
      <c r="E33" s="29" t="s">
        <v>79</v>
      </c>
      <c r="F33" s="78" t="s">
        <v>602</v>
      </c>
      <c r="G33" s="29" t="s">
        <v>612</v>
      </c>
      <c r="H33" s="29"/>
    </row>
    <row r="34" spans="1:8" x14ac:dyDescent="0.35">
      <c r="A34" s="24">
        <v>30</v>
      </c>
      <c r="B34" s="29" t="s">
        <v>613</v>
      </c>
      <c r="C34" s="29" t="s">
        <v>480</v>
      </c>
      <c r="D34" s="29" t="s">
        <v>611</v>
      </c>
      <c r="E34" s="29" t="s">
        <v>79</v>
      </c>
      <c r="F34" s="78" t="s">
        <v>602</v>
      </c>
      <c r="G34" s="29" t="s">
        <v>612</v>
      </c>
      <c r="H34" s="29"/>
    </row>
    <row r="35" spans="1:8" ht="28" customHeight="1" x14ac:dyDescent="0.35">
      <c r="A35" s="24">
        <v>31</v>
      </c>
      <c r="B35" s="29" t="s">
        <v>614</v>
      </c>
      <c r="C35" s="29" t="s">
        <v>615</v>
      </c>
      <c r="D35" s="29" t="s">
        <v>616</v>
      </c>
      <c r="E35" s="29" t="s">
        <v>76</v>
      </c>
      <c r="F35" s="78" t="s">
        <v>476</v>
      </c>
      <c r="G35" s="29" t="s">
        <v>493</v>
      </c>
      <c r="H35" s="29" t="s">
        <v>617</v>
      </c>
    </row>
    <row r="36" spans="1:8" ht="40.5" customHeight="1" x14ac:dyDescent="0.35">
      <c r="A36" s="24">
        <v>32</v>
      </c>
      <c r="B36" s="29" t="s">
        <v>618</v>
      </c>
      <c r="C36" s="29" t="s">
        <v>619</v>
      </c>
      <c r="D36" s="29" t="s">
        <v>620</v>
      </c>
      <c r="E36" s="29" t="s">
        <v>76</v>
      </c>
      <c r="F36" s="78" t="s">
        <v>524</v>
      </c>
      <c r="G36" s="29" t="s">
        <v>621</v>
      </c>
      <c r="H36" s="29" t="s">
        <v>622</v>
      </c>
    </row>
    <row r="37" spans="1:8" ht="40.5" customHeight="1" x14ac:dyDescent="0.35">
      <c r="A37" s="24">
        <v>33</v>
      </c>
      <c r="B37" s="29" t="s">
        <v>623</v>
      </c>
      <c r="C37" s="29" t="s">
        <v>624</v>
      </c>
      <c r="D37" s="29" t="s">
        <v>625</v>
      </c>
      <c r="E37" s="29" t="s">
        <v>97</v>
      </c>
      <c r="F37" s="78" t="s">
        <v>405</v>
      </c>
      <c r="G37" s="29" t="s">
        <v>626</v>
      </c>
      <c r="H37" s="29" t="s">
        <v>627</v>
      </c>
    </row>
    <row r="38" spans="1:8" ht="40.5" customHeight="1" x14ac:dyDescent="0.35">
      <c r="A38" s="24">
        <v>34</v>
      </c>
      <c r="B38" s="29" t="s">
        <v>628</v>
      </c>
      <c r="C38" s="29" t="s">
        <v>629</v>
      </c>
      <c r="D38" s="29" t="s">
        <v>630</v>
      </c>
      <c r="E38" s="29" t="s">
        <v>79</v>
      </c>
      <c r="F38" s="78" t="s">
        <v>602</v>
      </c>
      <c r="G38" s="29" t="s">
        <v>631</v>
      </c>
      <c r="H38" s="29" t="s">
        <v>632</v>
      </c>
    </row>
  </sheetData>
  <pageMargins left="0.75" right="0.75" top="1" bottom="1" header="0.5" footer="0.5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42"/>
  <sheetViews>
    <sheetView showGridLines="0" workbookViewId="0">
      <selection activeCell="A13" sqref="A13"/>
    </sheetView>
  </sheetViews>
  <sheetFormatPr defaultRowHeight="14.5" x14ac:dyDescent="0.35"/>
  <cols>
    <col min="1" max="1" width="64" customWidth="1"/>
    <col min="2" max="7" width="12" customWidth="1"/>
  </cols>
  <sheetData>
    <row r="1" spans="1:7" ht="18" x14ac:dyDescent="0.35">
      <c r="A1" s="1" t="s">
        <v>680</v>
      </c>
    </row>
    <row r="3" spans="1:7" x14ac:dyDescent="0.35">
      <c r="A3" s="4" t="s">
        <v>633</v>
      </c>
      <c r="B3" s="5"/>
      <c r="C3" s="5"/>
      <c r="D3" s="5"/>
      <c r="E3" s="5"/>
      <c r="F3" s="5"/>
    </row>
    <row r="4" spans="1:7" x14ac:dyDescent="0.35">
      <c r="A4" s="14" t="s">
        <v>44</v>
      </c>
      <c r="B4" s="15" t="s">
        <v>47</v>
      </c>
      <c r="C4" s="15" t="s">
        <v>48</v>
      </c>
      <c r="D4" s="15" t="s">
        <v>49</v>
      </c>
      <c r="E4" s="15" t="s">
        <v>50</v>
      </c>
      <c r="F4" s="79" t="s">
        <v>634</v>
      </c>
    </row>
    <row r="5" spans="1:7" x14ac:dyDescent="0.35">
      <c r="A5" s="6" t="s">
        <v>635</v>
      </c>
      <c r="B5" s="46">
        <f>((Inputs!B$47+Inputs!B$48-Inputs!B$50-Inputs!B$49-Inputs!B$51)+Inputs!B$52+Inputs!B$54)*(1-Inputs!$B$8)/Inputs!B$57</f>
        <v>0.39883379387984852</v>
      </c>
      <c r="C5" s="46">
        <f>((Inputs!C$47+Inputs!C$48-Inputs!C$50-Inputs!C$49-Inputs!C$51)+Inputs!C$52+Inputs!C$54)*(1-Inputs!$B$8)/Inputs!C$57</f>
        <v>0.36217157214644657</v>
      </c>
      <c r="D5" s="46">
        <f>((Inputs!D$47+Inputs!D$48-Inputs!D$50-Inputs!D$49-Inputs!D$51)+Inputs!D$52+Inputs!D$54)*(1-Inputs!$B$8)/Inputs!D$57</f>
        <v>0.42956671616461606</v>
      </c>
      <c r="E5" s="46">
        <f>((Inputs!E$47+Inputs!E$48-Inputs!E$50-Inputs!E$49-Inputs!E$51)+Inputs!E$52+Inputs!E$54)*(1-Inputs!$B$8)/Inputs!E$57</f>
        <v>0.3527974466258984</v>
      </c>
      <c r="F5" s="80">
        <f>SUM(B5:E5)</f>
        <v>1.5433695288168097</v>
      </c>
    </row>
    <row r="6" spans="1:7" x14ac:dyDescent="0.35">
      <c r="A6" s="6" t="s">
        <v>636</v>
      </c>
      <c r="B6" s="7">
        <f>Inputs!B$56</f>
        <v>0.41</v>
      </c>
      <c r="C6" s="7">
        <f>Inputs!C$56</f>
        <v>0.36</v>
      </c>
      <c r="D6" s="7">
        <f>Inputs!D$56</f>
        <v>0.43</v>
      </c>
      <c r="E6" s="7">
        <f>Inputs!E$56</f>
        <v>0.35</v>
      </c>
      <c r="F6" s="80">
        <f>SUM(B6:E6)</f>
        <v>1.5499999999999998</v>
      </c>
    </row>
    <row r="7" spans="1:7" x14ac:dyDescent="0.35">
      <c r="A7" s="6" t="s">
        <v>637</v>
      </c>
      <c r="B7" s="46">
        <f>B5-B6</f>
        <v>-1.1166206120151456E-2</v>
      </c>
      <c r="C7" s="46">
        <f>C5-C6</f>
        <v>2.1715721464465876E-3</v>
      </c>
      <c r="D7" s="46">
        <f>D5-D6</f>
        <v>-4.3328383538393522E-4</v>
      </c>
      <c r="E7" s="46">
        <f>E5-E6</f>
        <v>2.7974466258984254E-3</v>
      </c>
      <c r="F7" s="80">
        <f>SUM(B7:E7)</f>
        <v>-6.6304711831903784E-3</v>
      </c>
    </row>
    <row r="8" spans="1:7" x14ac:dyDescent="0.35">
      <c r="A8" s="20" t="s">
        <v>638</v>
      </c>
    </row>
    <row r="10" spans="1:7" x14ac:dyDescent="0.35">
      <c r="A10" s="4" t="s">
        <v>639</v>
      </c>
      <c r="B10" s="5"/>
      <c r="C10" s="5"/>
      <c r="D10" s="5"/>
      <c r="E10" s="5"/>
      <c r="F10" s="5"/>
      <c r="G10" s="5"/>
    </row>
    <row r="11" spans="1:7" x14ac:dyDescent="0.35">
      <c r="A11" s="6" t="s">
        <v>640</v>
      </c>
      <c r="B11" s="24" t="str">
        <f>IF(ABS(Scenarios!B18-1)&lt;0.0001,"OK","CHECK")</f>
        <v>OK</v>
      </c>
      <c r="C11" s="43"/>
      <c r="D11" s="43"/>
      <c r="E11" s="43"/>
      <c r="F11" s="43"/>
    </row>
    <row r="12" spans="1:7" x14ac:dyDescent="0.35">
      <c r="A12" s="6" t="s">
        <v>641</v>
      </c>
      <c r="B12" s="24" t="str">
        <f>IF(AND(Inputs!$B$34&gt;Inputs!$B$32,Inputs!$B$35&gt;Inputs!$B$32),"OK","CHECK")</f>
        <v>OK</v>
      </c>
      <c r="C12" s="43"/>
      <c r="D12" s="43"/>
      <c r="E12" s="43"/>
      <c r="F12" s="43"/>
    </row>
    <row r="13" spans="1:7" x14ac:dyDescent="0.35">
      <c r="A13" s="48" t="s">
        <v>642</v>
      </c>
      <c r="B13" s="75" t="str">
        <f>IF(ABS(Sensitivity!$M$77-Valuation!C42)&lt;0.000001,"OK","CHECK")</f>
        <v>OK</v>
      </c>
      <c r="C13" s="41"/>
      <c r="D13" s="41"/>
      <c r="E13" s="41"/>
      <c r="F13" s="41"/>
      <c r="G13" s="41"/>
    </row>
    <row r="14" spans="1:7" x14ac:dyDescent="0.35">
      <c r="A14" s="48" t="s">
        <v>643</v>
      </c>
      <c r="B14" s="75" t="str">
        <f>IF(ABS(Sensitivity!$J$77-EPS_Build!$F$46)&lt;0.000001,"OK","CHECK")</f>
        <v>OK</v>
      </c>
      <c r="C14" s="41"/>
      <c r="D14" s="41"/>
      <c r="E14" s="41"/>
      <c r="F14" s="41"/>
      <c r="G14" s="41"/>
    </row>
    <row r="15" spans="1:7" x14ac:dyDescent="0.35">
      <c r="A15" s="48" t="s">
        <v>644</v>
      </c>
      <c r="B15" s="75" t="str">
        <f>IF(ABS(EPS_Build!$J$113-EPS_Build!$F$46)&lt;0.000001,"OK","CHECK")</f>
        <v>OK</v>
      </c>
      <c r="C15" s="41"/>
      <c r="D15" s="41"/>
      <c r="E15" s="41"/>
      <c r="F15" s="41"/>
      <c r="G15" s="41"/>
    </row>
    <row r="16" spans="1:7" x14ac:dyDescent="0.35">
      <c r="A16" s="48" t="s">
        <v>645</v>
      </c>
      <c r="B16" s="75" t="str">
        <f>IF(ABS(ROUND(EPS_Build!$B$117,2)+ROUND(EPS_Build!$B$118,2)+ROUND(EPS_Build!$B$119,2)+ROUND(EPS_Build!$B$120,2)+ROUND(EPS_Build!$B$121,2)+ROUND(EPS_Build!$B$122,2)-ROUND(EPS_Build!$B$123,2))&lt;0.0001,"OK","CHECK")</f>
        <v>OK</v>
      </c>
      <c r="C16" s="41"/>
      <c r="D16" s="41"/>
      <c r="E16" s="41"/>
      <c r="F16" s="41"/>
      <c r="G16" s="41"/>
    </row>
    <row r="17" spans="1:7" x14ac:dyDescent="0.35">
      <c r="A17" s="48" t="s">
        <v>646</v>
      </c>
      <c r="B17" s="75" t="str">
        <f>IF(ABS(Valuation!B11-Valuation!B9-Valuation!B10)+ABS(Valuation!C11-Valuation!C9-Valuation!C10)+ABS(Valuation!D11-Valuation!D9-Valuation!D10)+ABS(Valuation!E11-Valuation!E9-Valuation!E10)&lt;0.000001,"OK","CHECK")</f>
        <v>OK</v>
      </c>
      <c r="C17" s="41"/>
      <c r="D17" s="41"/>
      <c r="E17" s="41"/>
      <c r="F17" s="41"/>
      <c r="G17" s="41"/>
    </row>
    <row r="18" spans="1:7" x14ac:dyDescent="0.35">
      <c r="A18" s="48" t="s">
        <v>647</v>
      </c>
      <c r="B18" s="75" t="str">
        <f>IF(AND(Inputs!$B$24&gt;0,Inputs!$B$24&lt;=1),"OK","CHECK")</f>
        <v>OK</v>
      </c>
      <c r="C18" s="41"/>
      <c r="D18" s="41"/>
      <c r="E18" s="41"/>
      <c r="F18" s="41"/>
      <c r="G18" s="41"/>
    </row>
    <row r="19" spans="1:7" x14ac:dyDescent="0.35">
      <c r="A19" s="48" t="s">
        <v>648</v>
      </c>
      <c r="B19" s="75" t="str">
        <f>IF(AND(Inputs!$B$16&gt;=0,Inputs!$B$16&lt;=1),"OK","CHECK")</f>
        <v>OK</v>
      </c>
      <c r="C19" s="41"/>
      <c r="D19" s="41"/>
      <c r="E19" s="41"/>
      <c r="F19" s="41"/>
      <c r="G19" s="41"/>
    </row>
    <row r="20" spans="1:7" x14ac:dyDescent="0.35">
      <c r="A20" s="48" t="s">
        <v>649</v>
      </c>
      <c r="B20" s="75" t="str">
        <f>IF(AND(MIN(Valuation!B35:E35,Valuation!B36:E36)&gt;0,MAX(Valuation!B35:E35,Valuation!B36:E36)&lt;=1),"OK","CHECK")</f>
        <v>OK</v>
      </c>
      <c r="C20" s="41"/>
      <c r="D20" s="41"/>
      <c r="E20" s="41"/>
      <c r="F20" s="41"/>
      <c r="G20" s="41"/>
    </row>
    <row r="21" spans="1:7" x14ac:dyDescent="0.35">
      <c r="A21" s="48" t="s">
        <v>650</v>
      </c>
      <c r="B21" s="75" t="str">
        <f>IF(AND(MAX(Valuation!B26-Valuation!B32,Valuation!C26-Valuation!C32,Valuation!D26-Valuation!D32,Valuation!E26-Valuation!E32)&lt;0,MAX(Valuation!B31-Valuation!B32,Valuation!C31-Valuation!C32,Valuation!D31-Valuation!D32,Valuation!E31-Valuation!E32)&lt;0),"OK","WARNING")</f>
        <v>OK</v>
      </c>
      <c r="C21" s="41"/>
      <c r="D21" s="41"/>
      <c r="E21" s="41"/>
      <c r="F21" s="41"/>
      <c r="G21" s="41"/>
    </row>
    <row r="22" spans="1:7" x14ac:dyDescent="0.35">
      <c r="A22" s="48" t="s">
        <v>651</v>
      </c>
      <c r="B22" s="75" t="str">
        <f>IF(AND(ABS(EPS_Build!$C$122-EPS_Build!$F$46)&lt;0.000001,ABS(EPS_Build!$C$124-EPS_Build!$F$49)&lt;0.000001),"OK","CHECK")</f>
        <v>OK</v>
      </c>
      <c r="C22" s="41"/>
      <c r="D22" s="41"/>
      <c r="E22" s="41"/>
      <c r="F22" s="41"/>
      <c r="G22" s="41"/>
    </row>
    <row r="24" spans="1:7" x14ac:dyDescent="0.35">
      <c r="A24" s="4" t="s">
        <v>652</v>
      </c>
      <c r="B24" s="5"/>
      <c r="C24" s="5"/>
      <c r="D24" s="5"/>
      <c r="E24" s="5"/>
      <c r="F24" s="5"/>
      <c r="G24" s="5"/>
    </row>
    <row r="25" spans="1:7" ht="40.5" customHeight="1" x14ac:dyDescent="0.35">
      <c r="A25" s="48" t="s">
        <v>653</v>
      </c>
      <c r="B25" s="82" t="s">
        <v>654</v>
      </c>
      <c r="C25" s="83"/>
      <c r="D25" s="83"/>
      <c r="E25" s="83"/>
      <c r="F25" s="83"/>
      <c r="G25" s="83"/>
    </row>
    <row r="26" spans="1:7" ht="28" customHeight="1" x14ac:dyDescent="0.35">
      <c r="A26" s="48" t="s">
        <v>655</v>
      </c>
      <c r="B26" s="82" t="s">
        <v>656</v>
      </c>
      <c r="C26" s="83"/>
      <c r="D26" s="83"/>
      <c r="E26" s="83"/>
      <c r="F26" s="83"/>
      <c r="G26" s="83"/>
    </row>
    <row r="27" spans="1:7" x14ac:dyDescent="0.35">
      <c r="A27" s="48" t="s">
        <v>657</v>
      </c>
      <c r="B27" s="82" t="s">
        <v>658</v>
      </c>
      <c r="C27" s="83"/>
      <c r="D27" s="83"/>
      <c r="E27" s="83"/>
      <c r="F27" s="83"/>
      <c r="G27" s="83"/>
    </row>
    <row r="28" spans="1:7" ht="28" customHeight="1" x14ac:dyDescent="0.35">
      <c r="A28" s="48" t="s">
        <v>659</v>
      </c>
      <c r="B28" s="82" t="s">
        <v>660</v>
      </c>
      <c r="C28" s="83"/>
      <c r="D28" s="83"/>
      <c r="E28" s="83"/>
      <c r="F28" s="83"/>
      <c r="G28" s="83"/>
    </row>
    <row r="29" spans="1:7" ht="28" customHeight="1" x14ac:dyDescent="0.35">
      <c r="A29" s="48" t="s">
        <v>437</v>
      </c>
      <c r="B29" s="82" t="s">
        <v>661</v>
      </c>
      <c r="C29" s="83"/>
      <c r="D29" s="83"/>
      <c r="E29" s="83"/>
      <c r="F29" s="83"/>
      <c r="G29" s="83"/>
    </row>
    <row r="31" spans="1:7" x14ac:dyDescent="0.35">
      <c r="A31" s="17" t="s">
        <v>662</v>
      </c>
    </row>
    <row r="32" spans="1:7" x14ac:dyDescent="0.35">
      <c r="A32" s="14" t="s">
        <v>663</v>
      </c>
      <c r="B32" s="15" t="s">
        <v>664</v>
      </c>
      <c r="C32" s="15" t="s">
        <v>665</v>
      </c>
      <c r="D32" s="15" t="s">
        <v>666</v>
      </c>
      <c r="E32" s="15" t="s">
        <v>667</v>
      </c>
      <c r="F32" s="15" t="s">
        <v>668</v>
      </c>
      <c r="G32" s="15" t="s">
        <v>669</v>
      </c>
    </row>
    <row r="33" spans="1:7" x14ac:dyDescent="0.35">
      <c r="A33" s="48" t="s">
        <v>670</v>
      </c>
      <c r="B33" s="51">
        <v>23</v>
      </c>
      <c r="C33" s="51">
        <v>22</v>
      </c>
      <c r="D33" s="50">
        <v>-6.1999999999999998E-3</v>
      </c>
      <c r="E33" s="50">
        <v>4.48E-2</v>
      </c>
      <c r="F33" s="50">
        <v>3.1800000000000002E-2</v>
      </c>
      <c r="G33" s="50">
        <v>0.72729999999999995</v>
      </c>
    </row>
    <row r="34" spans="1:7" x14ac:dyDescent="0.35">
      <c r="A34" s="48" t="s">
        <v>671</v>
      </c>
      <c r="B34" s="51">
        <v>14</v>
      </c>
      <c r="C34" s="51">
        <v>13</v>
      </c>
      <c r="D34" s="50">
        <v>-1.34E-2</v>
      </c>
      <c r="E34" s="50">
        <v>5.6399999999999999E-2</v>
      </c>
      <c r="F34" s="50">
        <v>6.2799999999999995E-2</v>
      </c>
      <c r="G34" s="50">
        <v>0.76919999999999999</v>
      </c>
    </row>
    <row r="35" spans="1:7" x14ac:dyDescent="0.35">
      <c r="A35" s="48" t="s">
        <v>672</v>
      </c>
      <c r="B35" s="51">
        <v>9</v>
      </c>
      <c r="C35" s="51">
        <v>9</v>
      </c>
      <c r="D35" s="50">
        <v>-2.2499999999999999E-2</v>
      </c>
      <c r="E35" s="50">
        <v>6.2899999999999998E-2</v>
      </c>
      <c r="F35" s="50">
        <v>3.0800000000000001E-2</v>
      </c>
      <c r="G35" s="50">
        <v>0.77780000000000005</v>
      </c>
    </row>
    <row r="37" spans="1:7" x14ac:dyDescent="0.35">
      <c r="A37" s="17" t="s">
        <v>673</v>
      </c>
    </row>
    <row r="38" spans="1:7" x14ac:dyDescent="0.35">
      <c r="A38" s="14" t="s">
        <v>663</v>
      </c>
      <c r="B38" s="15" t="s">
        <v>664</v>
      </c>
      <c r="C38" s="15" t="s">
        <v>665</v>
      </c>
      <c r="D38" s="15" t="s">
        <v>666</v>
      </c>
      <c r="E38" s="15" t="s">
        <v>667</v>
      </c>
      <c r="F38" s="15" t="s">
        <v>668</v>
      </c>
      <c r="G38" s="15" t="s">
        <v>669</v>
      </c>
    </row>
    <row r="39" spans="1:7" x14ac:dyDescent="0.35">
      <c r="A39" s="48" t="s">
        <v>670</v>
      </c>
      <c r="B39" s="51">
        <v>22</v>
      </c>
      <c r="C39" s="51">
        <v>21</v>
      </c>
      <c r="D39" s="50">
        <v>-3.8E-3</v>
      </c>
      <c r="E39" s="50">
        <v>4.6100000000000002E-2</v>
      </c>
      <c r="F39" s="50">
        <v>3.2800000000000003E-2</v>
      </c>
      <c r="G39" s="50">
        <v>0.71430000000000005</v>
      </c>
    </row>
    <row r="40" spans="1:7" x14ac:dyDescent="0.35">
      <c r="A40" s="48" t="s">
        <v>671</v>
      </c>
      <c r="B40" s="51">
        <v>13</v>
      </c>
      <c r="C40" s="51">
        <v>12</v>
      </c>
      <c r="D40" s="50">
        <v>-9.9000000000000008E-3</v>
      </c>
      <c r="E40" s="50">
        <v>5.96E-2</v>
      </c>
      <c r="F40" s="50">
        <v>6.6699999999999995E-2</v>
      </c>
      <c r="G40" s="50">
        <v>0.75</v>
      </c>
    </row>
    <row r="41" spans="1:7" x14ac:dyDescent="0.35">
      <c r="A41" s="48" t="s">
        <v>672</v>
      </c>
      <c r="B41" s="51">
        <v>8</v>
      </c>
      <c r="C41" s="51">
        <v>8</v>
      </c>
      <c r="D41" s="50">
        <v>-1.83E-2</v>
      </c>
      <c r="E41" s="50">
        <v>6.8500000000000005E-2</v>
      </c>
      <c r="F41" s="50">
        <v>5.2499999999999998E-2</v>
      </c>
      <c r="G41" s="50">
        <v>0.75</v>
      </c>
    </row>
    <row r="42" spans="1:7" x14ac:dyDescent="0.35">
      <c r="A42" s="20" t="s">
        <v>674</v>
      </c>
    </row>
  </sheetData>
  <mergeCells count="5">
    <mergeCell ref="B28:G28"/>
    <mergeCell ref="B27:G27"/>
    <mergeCell ref="B26:G26"/>
    <mergeCell ref="B29:G29"/>
    <mergeCell ref="B25:G25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Summary</vt:lpstr>
      <vt:lpstr>Inputs</vt:lpstr>
      <vt:lpstr>Scenarios</vt:lpstr>
      <vt:lpstr>EPS_Build</vt:lpstr>
      <vt:lpstr>Valuation</vt:lpstr>
      <vt:lpstr>Sensitivity</vt:lpstr>
      <vt:lpstr>Consensus</vt:lpstr>
      <vt:lpstr>Catalysts</vt:lpstr>
      <vt:lpstr>Sources</vt:lpstr>
      <vt:lpstr>Checks</vt:lpstr>
      <vt:lpstr>Catalysts!Print_Area</vt:lpstr>
      <vt:lpstr>Checks!Print_Area</vt:lpstr>
      <vt:lpstr>Consensus!Print_Area</vt:lpstr>
      <vt:lpstr>EPS_Build!Print_Area</vt:lpstr>
      <vt:lpstr>Inputs!Print_Area</vt:lpstr>
      <vt:lpstr>Scenarios!Print_Area</vt:lpstr>
      <vt:lpstr>Sensitivity!Print_Area</vt:lpstr>
      <vt:lpstr>Sources!Print_Area</vt:lpstr>
      <vt:lpstr>Summary!Print_Area</vt:lpstr>
      <vt:lpstr>Valuation!Print_Area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Margin Callers - CPRT Short model</dc:title>
  <dc:creator/>
  <cp:lastModifiedBy/>
  <dcterms:created xsi:type="dcterms:W3CDTF">2026-10-02T23:57:13Z</dcterms:created>
  <dcterms:modified xsi:type="dcterms:W3CDTF">2026-10-03T00:56:25Z</dcterms:modified>
</cp:coreProperties>
</file>